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Camiones Mineros" sheetId="1" state="visible" r:id="rId1"/>
    <sheet xmlns:r="http://schemas.openxmlformats.org/officeDocument/2006/relationships" name="Estadísticas" sheetId="2" state="visible" r:id="rId2"/>
    <sheet xmlns:r="http://schemas.openxmlformats.org/officeDocument/2006/relationships" name="Diccionario de 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1F3864"/>
      <sz val="11"/>
    </font>
    <font>
      <name val="Arial"/>
      <b val="1"/>
      <color rgb="00FFFFFF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7" customWidth="1" min="4" max="4"/>
    <col width="20" customWidth="1" min="5" max="5"/>
    <col width="18" customWidth="1" min="6" max="6"/>
    <col width="20" customWidth="1" min="7" max="7"/>
    <col width="22" customWidth="1" min="8" max="8"/>
    <col width="17" customWidth="1" min="9" max="9"/>
    <col width="17" customWidth="1" min="10" max="10"/>
    <col width="21" customWidth="1" min="11" max="11"/>
    <col width="17" customWidth="1" min="12" max="12"/>
    <col width="25" customWidth="1" min="13" max="13"/>
    <col width="22" customWidth="1" min="14" max="14"/>
  </cols>
  <sheetData>
    <row r="1" ht="30" customHeight="1">
      <c r="A1" s="1" t="inlineStr">
        <is>
          <t>DATASET DE CAMIONES MINEROS — CLASIFICACIÓN POR K-VECINOS (KNN)</t>
        </is>
      </c>
    </row>
    <row r="2" ht="20" customHeight="1">
      <c r="A2" s="2" t="inlineStr">
        <is>
          <t>Dataset sintético para entrenamiento y prueba de modelos de clasificación predictiva de mantenimiento</t>
        </is>
      </c>
    </row>
    <row r="3" ht="35" customHeight="1">
      <c r="A3" s="3" t="inlineStr">
        <is>
          <t>ID_Camion</t>
        </is>
      </c>
      <c r="B3" s="3" t="inlineStr">
        <is>
          <t>Modelo</t>
        </is>
      </c>
      <c r="C3" s="3" t="inlineStr">
        <is>
          <t>Año_Fabricacion</t>
        </is>
      </c>
      <c r="D3" s="3" t="inlineStr">
        <is>
          <t>Horas_Operacion</t>
        </is>
      </c>
      <c r="E3" s="3" t="inlineStr">
        <is>
          <t>Temperatura_Motor_C</t>
        </is>
      </c>
      <c r="F3" s="3" t="inlineStr">
        <is>
          <t>Presion_Aceite_bar</t>
        </is>
      </c>
      <c r="G3" s="3" t="inlineStr">
        <is>
          <t>Nivel_Combustible_L</t>
        </is>
      </c>
      <c r="H3" s="3" t="inlineStr">
        <is>
          <t>Velocidad_Promedio_kmh</t>
        </is>
      </c>
      <c r="I3" s="3" t="inlineStr">
        <is>
          <t>Carga_Toneladas</t>
        </is>
      </c>
      <c r="J3" s="3" t="inlineStr">
        <is>
          <t>Vibracion_mm_s</t>
        </is>
      </c>
      <c r="K3" s="3" t="inlineStr">
        <is>
          <t>Eficiencia_Combustible</t>
        </is>
      </c>
      <c r="L3" s="3" t="inlineStr">
        <is>
          <t>Km_Recorridos</t>
        </is>
      </c>
      <c r="M3" s="3" t="inlineStr">
        <is>
          <t>Dias_Ultimo_Mantenimiento</t>
        </is>
      </c>
      <c r="N3" s="3" t="inlineStr">
        <is>
          <t>Estado_Mantenimiento</t>
        </is>
      </c>
    </row>
    <row r="4">
      <c r="A4" s="4" t="inlineStr">
        <is>
          <t>CAM-001</t>
        </is>
      </c>
      <c r="B4" s="4" t="inlineStr">
        <is>
          <t>BelAZ 75710</t>
        </is>
      </c>
      <c r="C4" s="4" t="n">
        <v>2011</v>
      </c>
      <c r="D4" s="4" t="n">
        <v>1319</v>
      </c>
      <c r="E4" s="4" t="n">
        <v>119.5</v>
      </c>
      <c r="F4" s="4" t="n">
        <v>3.48</v>
      </c>
      <c r="G4" s="4" t="n">
        <v>571.2</v>
      </c>
      <c r="H4" s="4" t="n">
        <v>14.6</v>
      </c>
      <c r="I4" s="4" t="n">
        <v>322.2</v>
      </c>
      <c r="J4" s="4" t="n">
        <v>6.77</v>
      </c>
      <c r="K4" s="4" t="n">
        <v>1.36</v>
      </c>
      <c r="L4" s="4" t="n">
        <v>11769</v>
      </c>
      <c r="M4" s="4" t="n">
        <v>23</v>
      </c>
      <c r="N4" s="5" t="inlineStr">
        <is>
          <t>Mantenimiento Próximo</t>
        </is>
      </c>
    </row>
    <row r="5">
      <c r="A5" s="6" t="inlineStr">
        <is>
          <t>CAM-002</t>
        </is>
      </c>
      <c r="B5" s="6" t="inlineStr">
        <is>
          <t>Komatsu 960E</t>
        </is>
      </c>
      <c r="C5" s="6" t="n">
        <v>2013</v>
      </c>
      <c r="D5" s="6" t="n">
        <v>17059</v>
      </c>
      <c r="E5" s="6" t="n">
        <v>111.1</v>
      </c>
      <c r="F5" s="6" t="n">
        <v>4.74</v>
      </c>
      <c r="G5" s="6" t="n">
        <v>2724.3</v>
      </c>
      <c r="H5" s="6" t="n">
        <v>41.6</v>
      </c>
      <c r="I5" s="6" t="n">
        <v>225.9</v>
      </c>
      <c r="J5" s="6" t="n">
        <v>5.67</v>
      </c>
      <c r="K5" s="6" t="n">
        <v>0.8</v>
      </c>
      <c r="L5" s="6" t="n">
        <v>641709</v>
      </c>
      <c r="M5" s="6" t="n">
        <v>40</v>
      </c>
      <c r="N5" s="7" t="inlineStr">
        <is>
          <t>Operativo Normal</t>
        </is>
      </c>
    </row>
    <row r="6">
      <c r="A6" s="4" t="inlineStr">
        <is>
          <t>CAM-003</t>
        </is>
      </c>
      <c r="B6" s="4" t="inlineStr">
        <is>
          <t>BelAZ 75710</t>
        </is>
      </c>
      <c r="C6" s="4" t="n">
        <v>2016</v>
      </c>
      <c r="D6" s="4" t="n">
        <v>11649</v>
      </c>
      <c r="E6" s="4" t="n">
        <v>91.7</v>
      </c>
      <c r="F6" s="4" t="n">
        <v>3.36</v>
      </c>
      <c r="G6" s="4" t="n">
        <v>2901.7</v>
      </c>
      <c r="H6" s="4" t="n">
        <v>14.6</v>
      </c>
      <c r="I6" s="4" t="n">
        <v>214</v>
      </c>
      <c r="J6" s="4" t="n">
        <v>4.63</v>
      </c>
      <c r="K6" s="4" t="n">
        <v>0.92</v>
      </c>
      <c r="L6" s="4" t="n">
        <v>117791</v>
      </c>
      <c r="M6" s="4" t="n">
        <v>11</v>
      </c>
      <c r="N6" s="7" t="inlineStr">
        <is>
          <t>Operativo Normal</t>
        </is>
      </c>
    </row>
    <row r="7">
      <c r="A7" s="6" t="inlineStr">
        <is>
          <t>CAM-004</t>
        </is>
      </c>
      <c r="B7" s="6" t="inlineStr">
        <is>
          <t>BelAZ 75710</t>
        </is>
      </c>
      <c r="C7" s="6" t="n">
        <v>2017</v>
      </c>
      <c r="D7" s="6" t="n">
        <v>18071</v>
      </c>
      <c r="E7" s="6" t="n">
        <v>82.5</v>
      </c>
      <c r="F7" s="6" t="n">
        <v>6.19</v>
      </c>
      <c r="G7" s="6" t="n">
        <v>344.3</v>
      </c>
      <c r="H7" s="6" t="n">
        <v>23.2</v>
      </c>
      <c r="I7" s="6" t="n">
        <v>288.6</v>
      </c>
      <c r="J7" s="6" t="n">
        <v>10.68</v>
      </c>
      <c r="K7" s="6" t="n">
        <v>0.95</v>
      </c>
      <c r="L7" s="6" t="n">
        <v>279764</v>
      </c>
      <c r="M7" s="6" t="n">
        <v>17</v>
      </c>
      <c r="N7" s="5" t="inlineStr">
        <is>
          <t>Mantenimiento Próximo</t>
        </is>
      </c>
    </row>
    <row r="8">
      <c r="A8" s="4" t="inlineStr">
        <is>
          <t>CAM-005</t>
        </is>
      </c>
      <c r="B8" s="4" t="inlineStr">
        <is>
          <t>Caterpillar 797F</t>
        </is>
      </c>
      <c r="C8" s="4" t="n">
        <v>2020</v>
      </c>
      <c r="D8" s="4" t="n">
        <v>7967</v>
      </c>
      <c r="E8" s="4" t="n">
        <v>121.4</v>
      </c>
      <c r="F8" s="4" t="n">
        <v>6.44</v>
      </c>
      <c r="G8" s="4" t="n">
        <v>3244.6</v>
      </c>
      <c r="H8" s="4" t="n">
        <v>49</v>
      </c>
      <c r="I8" s="4" t="n">
        <v>214</v>
      </c>
      <c r="J8" s="4" t="n">
        <v>5.71</v>
      </c>
      <c r="K8" s="4" t="n">
        <v>1.8</v>
      </c>
      <c r="L8" s="4" t="n">
        <v>256454</v>
      </c>
      <c r="M8" s="4" t="n">
        <v>90</v>
      </c>
      <c r="N8" s="5" t="inlineStr">
        <is>
          <t>Mantenimiento Próximo</t>
        </is>
      </c>
    </row>
    <row r="9">
      <c r="A9" s="6" t="inlineStr">
        <is>
          <t>CAM-006</t>
        </is>
      </c>
      <c r="B9" s="6" t="inlineStr">
        <is>
          <t>Komatsu 960E</t>
        </is>
      </c>
      <c r="C9" s="6" t="n">
        <v>2020</v>
      </c>
      <c r="D9" s="6" t="n">
        <v>9248</v>
      </c>
      <c r="E9" s="6" t="n">
        <v>117.1</v>
      </c>
      <c r="F9" s="6" t="n">
        <v>5.23</v>
      </c>
      <c r="G9" s="6" t="n">
        <v>316.7</v>
      </c>
      <c r="H9" s="6" t="n">
        <v>38.6</v>
      </c>
      <c r="I9" s="6" t="n">
        <v>260.2</v>
      </c>
      <c r="J9" s="6" t="n">
        <v>3.32</v>
      </c>
      <c r="K9" s="6" t="n">
        <v>1.13</v>
      </c>
      <c r="L9" s="6" t="n">
        <v>247911</v>
      </c>
      <c r="M9" s="6" t="n">
        <v>163</v>
      </c>
      <c r="N9" s="5" t="inlineStr">
        <is>
          <t>Mantenimiento Próximo</t>
        </is>
      </c>
    </row>
    <row r="10">
      <c r="A10" s="4" t="inlineStr">
        <is>
          <t>CAM-007</t>
        </is>
      </c>
      <c r="B10" s="4" t="inlineStr">
        <is>
          <t>BelAZ 75710</t>
        </is>
      </c>
      <c r="C10" s="4" t="n">
        <v>2018</v>
      </c>
      <c r="D10" s="4" t="n">
        <v>7696</v>
      </c>
      <c r="E10" s="4" t="n">
        <v>116.1</v>
      </c>
      <c r="F10" s="4" t="n">
        <v>5.87</v>
      </c>
      <c r="G10" s="4" t="n">
        <v>2948.4</v>
      </c>
      <c r="H10" s="4" t="n">
        <v>20.3</v>
      </c>
      <c r="I10" s="4" t="n">
        <v>109.6</v>
      </c>
      <c r="J10" s="4" t="n">
        <v>4.13</v>
      </c>
      <c r="K10" s="4" t="n">
        <v>0.78</v>
      </c>
      <c r="L10" s="4" t="n">
        <v>105274</v>
      </c>
      <c r="M10" s="4" t="n">
        <v>145</v>
      </c>
      <c r="N10" s="5" t="inlineStr">
        <is>
          <t>Mantenimiento Próximo</t>
        </is>
      </c>
    </row>
    <row r="11">
      <c r="A11" s="6" t="inlineStr">
        <is>
          <t>CAM-008</t>
        </is>
      </c>
      <c r="B11" s="6" t="inlineStr">
        <is>
          <t>BelAZ 75710</t>
        </is>
      </c>
      <c r="C11" s="6" t="n">
        <v>2015</v>
      </c>
      <c r="D11" s="6" t="n">
        <v>7467</v>
      </c>
      <c r="E11" s="6" t="n">
        <v>114.3</v>
      </c>
      <c r="F11" s="6" t="n">
        <v>4.08</v>
      </c>
      <c r="G11" s="6" t="n">
        <v>3465.8</v>
      </c>
      <c r="H11" s="6" t="n">
        <v>30.6</v>
      </c>
      <c r="I11" s="6" t="n">
        <v>179.5</v>
      </c>
      <c r="J11" s="6" t="n">
        <v>3.34</v>
      </c>
      <c r="K11" s="6" t="n">
        <v>1.31</v>
      </c>
      <c r="L11" s="6" t="n">
        <v>158106</v>
      </c>
      <c r="M11" s="6" t="n">
        <v>149</v>
      </c>
      <c r="N11" s="5" t="inlineStr">
        <is>
          <t>Mantenimiento Próximo</t>
        </is>
      </c>
    </row>
    <row r="12">
      <c r="A12" s="4" t="inlineStr">
        <is>
          <t>CAM-009</t>
        </is>
      </c>
      <c r="B12" s="4" t="inlineStr">
        <is>
          <t>Hitachi EH5000</t>
        </is>
      </c>
      <c r="C12" s="4" t="n">
        <v>2019</v>
      </c>
      <c r="D12" s="4" t="n">
        <v>13587</v>
      </c>
      <c r="E12" s="4" t="n">
        <v>96.7</v>
      </c>
      <c r="F12" s="4" t="n">
        <v>6.49</v>
      </c>
      <c r="G12" s="4" t="n">
        <v>566.7</v>
      </c>
      <c r="H12" s="4" t="n">
        <v>32.2</v>
      </c>
      <c r="I12" s="4" t="n">
        <v>326.7</v>
      </c>
      <c r="J12" s="4" t="n">
        <v>10.4</v>
      </c>
      <c r="K12" s="4" t="n">
        <v>0.58</v>
      </c>
      <c r="L12" s="4" t="n">
        <v>286998</v>
      </c>
      <c r="M12" s="4" t="n">
        <v>174</v>
      </c>
      <c r="N12" s="8" t="inlineStr">
        <is>
          <t>Mantenimiento Urgente</t>
        </is>
      </c>
    </row>
    <row r="13">
      <c r="A13" s="6" t="inlineStr">
        <is>
          <t>CAM-010</t>
        </is>
      </c>
      <c r="B13" s="6" t="inlineStr">
        <is>
          <t>Hitachi EH5000</t>
        </is>
      </c>
      <c r="C13" s="6" t="n">
        <v>2019</v>
      </c>
      <c r="D13" s="6" t="n">
        <v>2581</v>
      </c>
      <c r="E13" s="6" t="n">
        <v>98.09999999999999</v>
      </c>
      <c r="F13" s="6" t="n">
        <v>4.88</v>
      </c>
      <c r="G13" s="6" t="n">
        <v>1798.2</v>
      </c>
      <c r="H13" s="6" t="n">
        <v>21.3</v>
      </c>
      <c r="I13" s="6" t="n">
        <v>266</v>
      </c>
      <c r="J13" s="6" t="n">
        <v>11.34</v>
      </c>
      <c r="K13" s="6" t="n">
        <v>1.52</v>
      </c>
      <c r="L13" s="6" t="n">
        <v>35189</v>
      </c>
      <c r="M13" s="6" t="n">
        <v>137</v>
      </c>
      <c r="N13" s="5" t="inlineStr">
        <is>
          <t>Mantenimiento Próximo</t>
        </is>
      </c>
    </row>
    <row r="14">
      <c r="A14" s="4" t="inlineStr">
        <is>
          <t>CAM-011</t>
        </is>
      </c>
      <c r="B14" s="4" t="inlineStr">
        <is>
          <t>Liebherr T 282C</t>
        </is>
      </c>
      <c r="C14" s="4" t="n">
        <v>2022</v>
      </c>
      <c r="D14" s="4" t="n">
        <v>21503</v>
      </c>
      <c r="E14" s="4" t="n">
        <v>95.40000000000001</v>
      </c>
      <c r="F14" s="4" t="n">
        <v>3.67</v>
      </c>
      <c r="G14" s="4" t="n">
        <v>640.7</v>
      </c>
      <c r="H14" s="4" t="n">
        <v>10.1</v>
      </c>
      <c r="I14" s="4" t="n">
        <v>316.6</v>
      </c>
      <c r="J14" s="4" t="n">
        <v>8.779999999999999</v>
      </c>
      <c r="K14" s="4" t="n">
        <v>2.05</v>
      </c>
      <c r="L14" s="4" t="n">
        <v>188227</v>
      </c>
      <c r="M14" s="4" t="n">
        <v>129</v>
      </c>
      <c r="N14" s="8" t="inlineStr">
        <is>
          <t>Mantenimiento Urgente</t>
        </is>
      </c>
    </row>
    <row r="15">
      <c r="A15" s="6" t="inlineStr">
        <is>
          <t>CAM-012</t>
        </is>
      </c>
      <c r="B15" s="6" t="inlineStr">
        <is>
          <t>Caterpillar 797F</t>
        </is>
      </c>
      <c r="C15" s="6" t="n">
        <v>2023</v>
      </c>
      <c r="D15" s="6" t="n">
        <v>20989</v>
      </c>
      <c r="E15" s="6" t="n">
        <v>92.90000000000001</v>
      </c>
      <c r="F15" s="6" t="n">
        <v>5.06</v>
      </c>
      <c r="G15" s="6" t="n">
        <v>2324.5</v>
      </c>
      <c r="H15" s="6" t="n">
        <v>16.9</v>
      </c>
      <c r="I15" s="6" t="n">
        <v>328.8</v>
      </c>
      <c r="J15" s="6" t="n">
        <v>6.7</v>
      </c>
      <c r="K15" s="6" t="n">
        <v>1.7</v>
      </c>
      <c r="L15" s="6" t="n">
        <v>278672</v>
      </c>
      <c r="M15" s="6" t="n">
        <v>0</v>
      </c>
      <c r="N15" s="5" t="inlineStr">
        <is>
          <t>Mantenimiento Próximo</t>
        </is>
      </c>
    </row>
    <row r="16">
      <c r="A16" s="4" t="inlineStr">
        <is>
          <t>CAM-013</t>
        </is>
      </c>
      <c r="B16" s="4" t="inlineStr">
        <is>
          <t>Terex MT6300</t>
        </is>
      </c>
      <c r="C16" s="4" t="n">
        <v>2015</v>
      </c>
      <c r="D16" s="4" t="n">
        <v>16510</v>
      </c>
      <c r="E16" s="4" t="n">
        <v>76.2</v>
      </c>
      <c r="F16" s="4" t="n">
        <v>6.22</v>
      </c>
      <c r="G16" s="4" t="n">
        <v>3332</v>
      </c>
      <c r="H16" s="4" t="n">
        <v>47.4</v>
      </c>
      <c r="I16" s="4" t="n">
        <v>192.3</v>
      </c>
      <c r="J16" s="4" t="n">
        <v>1.17</v>
      </c>
      <c r="K16" s="4" t="n">
        <v>1.88</v>
      </c>
      <c r="L16" s="4" t="n">
        <v>728915</v>
      </c>
      <c r="M16" s="4" t="n">
        <v>21</v>
      </c>
      <c r="N16" s="7" t="inlineStr">
        <is>
          <t>Operativo Normal</t>
        </is>
      </c>
    </row>
    <row r="17">
      <c r="A17" s="6" t="inlineStr">
        <is>
          <t>CAM-014</t>
        </is>
      </c>
      <c r="B17" s="6" t="inlineStr">
        <is>
          <t>BelAZ 75710</t>
        </is>
      </c>
      <c r="C17" s="6" t="n">
        <v>2017</v>
      </c>
      <c r="D17" s="6" t="n">
        <v>2767</v>
      </c>
      <c r="E17" s="6" t="n">
        <v>133.7</v>
      </c>
      <c r="F17" s="6" t="n">
        <v>4.63</v>
      </c>
      <c r="G17" s="6" t="n">
        <v>519.7</v>
      </c>
      <c r="H17" s="6" t="n">
        <v>39.7</v>
      </c>
      <c r="I17" s="6" t="n">
        <v>384.1</v>
      </c>
      <c r="J17" s="6" t="n">
        <v>2.4</v>
      </c>
      <c r="K17" s="6" t="n">
        <v>1.25</v>
      </c>
      <c r="L17" s="6" t="n">
        <v>89232</v>
      </c>
      <c r="M17" s="6" t="n">
        <v>54</v>
      </c>
      <c r="N17" s="5" t="inlineStr">
        <is>
          <t>Mantenimiento Próximo</t>
        </is>
      </c>
    </row>
    <row r="18">
      <c r="A18" s="4" t="inlineStr">
        <is>
          <t>CAM-015</t>
        </is>
      </c>
      <c r="B18" s="4" t="inlineStr">
        <is>
          <t>Terex MT6300</t>
        </is>
      </c>
      <c r="C18" s="4" t="n">
        <v>2022</v>
      </c>
      <c r="D18" s="4" t="n">
        <v>24418</v>
      </c>
      <c r="E18" s="4" t="n">
        <v>116.4</v>
      </c>
      <c r="F18" s="4" t="n">
        <v>5.35</v>
      </c>
      <c r="G18" s="4" t="n">
        <v>1540.2</v>
      </c>
      <c r="H18" s="4" t="n">
        <v>40.2</v>
      </c>
      <c r="I18" s="4" t="n">
        <v>212</v>
      </c>
      <c r="J18" s="4" t="n">
        <v>10.85</v>
      </c>
      <c r="K18" s="4" t="n">
        <v>1.11</v>
      </c>
      <c r="L18" s="4" t="n">
        <v>674133</v>
      </c>
      <c r="M18" s="4" t="n">
        <v>16</v>
      </c>
      <c r="N18" s="8" t="inlineStr">
        <is>
          <t>Mantenimiento Urgente</t>
        </is>
      </c>
    </row>
    <row r="19">
      <c r="A19" s="6" t="inlineStr">
        <is>
          <t>CAM-016</t>
        </is>
      </c>
      <c r="B19" s="6" t="inlineStr">
        <is>
          <t>Liebherr T 282C</t>
        </is>
      </c>
      <c r="C19" s="6" t="n">
        <v>2010</v>
      </c>
      <c r="D19" s="6" t="n">
        <v>19777</v>
      </c>
      <c r="E19" s="6" t="n">
        <v>108.2</v>
      </c>
      <c r="F19" s="6" t="n">
        <v>4.85</v>
      </c>
      <c r="G19" s="6" t="n">
        <v>76.90000000000001</v>
      </c>
      <c r="H19" s="6" t="n">
        <v>41.9</v>
      </c>
      <c r="I19" s="6" t="n">
        <v>117.7</v>
      </c>
      <c r="J19" s="6" t="n">
        <v>1.28</v>
      </c>
      <c r="K19" s="6" t="n">
        <v>0.36</v>
      </c>
      <c r="L19" s="6" t="n">
        <v>593028</v>
      </c>
      <c r="M19" s="6" t="n">
        <v>131</v>
      </c>
      <c r="N19" s="5" t="inlineStr">
        <is>
          <t>Mantenimiento Próximo</t>
        </is>
      </c>
    </row>
    <row r="20">
      <c r="A20" s="4" t="inlineStr">
        <is>
          <t>CAM-017</t>
        </is>
      </c>
      <c r="B20" s="4" t="inlineStr">
        <is>
          <t>Komatsu 960E</t>
        </is>
      </c>
      <c r="C20" s="4" t="n">
        <v>2014</v>
      </c>
      <c r="D20" s="4" t="n">
        <v>22421</v>
      </c>
      <c r="E20" s="4" t="n">
        <v>104.1</v>
      </c>
      <c r="F20" s="4" t="n">
        <v>4.66</v>
      </c>
      <c r="G20" s="4" t="n">
        <v>2751.7</v>
      </c>
      <c r="H20" s="4" t="n">
        <v>49.7</v>
      </c>
      <c r="I20" s="4" t="n">
        <v>272.9</v>
      </c>
      <c r="J20" s="4" t="n">
        <v>3.29</v>
      </c>
      <c r="K20" s="4" t="n">
        <v>1.15</v>
      </c>
      <c r="L20" s="4" t="n">
        <v>827353</v>
      </c>
      <c r="M20" s="4" t="n">
        <v>24</v>
      </c>
      <c r="N20" s="7" t="inlineStr">
        <is>
          <t>Operativo Normal</t>
        </is>
      </c>
    </row>
    <row r="21">
      <c r="A21" s="6" t="inlineStr">
        <is>
          <t>CAM-018</t>
        </is>
      </c>
      <c r="B21" s="6" t="inlineStr">
        <is>
          <t>Caterpillar 797F</t>
        </is>
      </c>
      <c r="C21" s="6" t="n">
        <v>2020</v>
      </c>
      <c r="D21" s="6" t="n">
        <v>14624</v>
      </c>
      <c r="E21" s="6" t="n">
        <v>96.3</v>
      </c>
      <c r="F21" s="6" t="n">
        <v>4.14</v>
      </c>
      <c r="G21" s="6" t="n">
        <v>3276.4</v>
      </c>
      <c r="H21" s="6" t="n">
        <v>12.4</v>
      </c>
      <c r="I21" s="6" t="n">
        <v>296</v>
      </c>
      <c r="J21" s="6" t="n">
        <v>7.93</v>
      </c>
      <c r="K21" s="6" t="n">
        <v>0.41</v>
      </c>
      <c r="L21" s="6" t="n">
        <v>155021</v>
      </c>
      <c r="M21" s="6" t="n">
        <v>27</v>
      </c>
      <c r="N21" s="7" t="inlineStr">
        <is>
          <t>Operativo Normal</t>
        </is>
      </c>
    </row>
    <row r="22">
      <c r="A22" s="4" t="inlineStr">
        <is>
          <t>CAM-019</t>
        </is>
      </c>
      <c r="B22" s="4" t="inlineStr">
        <is>
          <t>Komatsu 960E</t>
        </is>
      </c>
      <c r="C22" s="4" t="n">
        <v>2013</v>
      </c>
      <c r="D22" s="4" t="n">
        <v>6732</v>
      </c>
      <c r="E22" s="4" t="n">
        <v>107.2</v>
      </c>
      <c r="F22" s="4" t="n">
        <v>3.06</v>
      </c>
      <c r="G22" s="4" t="n">
        <v>735.3</v>
      </c>
      <c r="H22" s="4" t="n">
        <v>30.8</v>
      </c>
      <c r="I22" s="4" t="n">
        <v>362.3</v>
      </c>
      <c r="J22" s="4" t="n">
        <v>1.37</v>
      </c>
      <c r="K22" s="4" t="n">
        <v>1.75</v>
      </c>
      <c r="L22" s="4" t="n">
        <v>186526</v>
      </c>
      <c r="M22" s="4" t="n">
        <v>25</v>
      </c>
      <c r="N22" s="7" t="inlineStr">
        <is>
          <t>Operativo Normal</t>
        </is>
      </c>
    </row>
    <row r="23">
      <c r="A23" s="6" t="inlineStr">
        <is>
          <t>CAM-020</t>
        </is>
      </c>
      <c r="B23" s="6" t="inlineStr">
        <is>
          <t>Caterpillar 797F</t>
        </is>
      </c>
      <c r="C23" s="6" t="n">
        <v>2020</v>
      </c>
      <c r="D23" s="6" t="n">
        <v>18213</v>
      </c>
      <c r="E23" s="6" t="n">
        <v>125.2</v>
      </c>
      <c r="F23" s="6" t="n">
        <v>6.38</v>
      </c>
      <c r="G23" s="6" t="n">
        <v>3510</v>
      </c>
      <c r="H23" s="6" t="n">
        <v>48.2</v>
      </c>
      <c r="I23" s="6" t="n">
        <v>149.9</v>
      </c>
      <c r="J23" s="6" t="n">
        <v>6.08</v>
      </c>
      <c r="K23" s="6" t="n">
        <v>0.68</v>
      </c>
      <c r="L23" s="6" t="n">
        <v>649941</v>
      </c>
      <c r="M23" s="6" t="n">
        <v>15</v>
      </c>
      <c r="N23" s="5" t="inlineStr">
        <is>
          <t>Mantenimiento Próximo</t>
        </is>
      </c>
    </row>
    <row r="24">
      <c r="A24" s="4" t="inlineStr">
        <is>
          <t>CAM-021</t>
        </is>
      </c>
      <c r="B24" s="4" t="inlineStr">
        <is>
          <t>Komatsu 960E</t>
        </is>
      </c>
      <c r="C24" s="4" t="n">
        <v>2016</v>
      </c>
      <c r="D24" s="4" t="n">
        <v>570</v>
      </c>
      <c r="E24" s="4" t="n">
        <v>134.1</v>
      </c>
      <c r="F24" s="4" t="n">
        <v>3.56</v>
      </c>
      <c r="G24" s="4" t="n">
        <v>2978.5</v>
      </c>
      <c r="H24" s="4" t="n">
        <v>30.5</v>
      </c>
      <c r="I24" s="4" t="n">
        <v>226.9</v>
      </c>
      <c r="J24" s="4" t="n">
        <v>11.51</v>
      </c>
      <c r="K24" s="4" t="n">
        <v>2.09</v>
      </c>
      <c r="L24" s="4" t="n">
        <v>13813</v>
      </c>
      <c r="M24" s="4" t="n">
        <v>124</v>
      </c>
      <c r="N24" s="8" t="inlineStr">
        <is>
          <t>Mantenimiento Urgente</t>
        </is>
      </c>
    </row>
    <row r="25">
      <c r="A25" s="6" t="inlineStr">
        <is>
          <t>CAM-022</t>
        </is>
      </c>
      <c r="B25" s="6" t="inlineStr">
        <is>
          <t>Komatsu 960E</t>
        </is>
      </c>
      <c r="C25" s="6" t="n">
        <v>2013</v>
      </c>
      <c r="D25" s="6" t="n">
        <v>10222</v>
      </c>
      <c r="E25" s="6" t="n">
        <v>88.09999999999999</v>
      </c>
      <c r="F25" s="6" t="n">
        <v>2.73</v>
      </c>
      <c r="G25" s="6" t="n">
        <v>2798</v>
      </c>
      <c r="H25" s="6" t="n">
        <v>12.7</v>
      </c>
      <c r="I25" s="6" t="n">
        <v>194.1</v>
      </c>
      <c r="J25" s="6" t="n">
        <v>1.08</v>
      </c>
      <c r="K25" s="6" t="n">
        <v>1.16</v>
      </c>
      <c r="L25" s="6" t="n">
        <v>119666</v>
      </c>
      <c r="M25" s="6" t="n">
        <v>135</v>
      </c>
      <c r="N25" s="5" t="inlineStr">
        <is>
          <t>Mantenimiento Próximo</t>
        </is>
      </c>
    </row>
    <row r="26">
      <c r="A26" s="4" t="inlineStr">
        <is>
          <t>CAM-023</t>
        </is>
      </c>
      <c r="B26" s="4" t="inlineStr">
        <is>
          <t>Komatsu 960E</t>
        </is>
      </c>
      <c r="C26" s="4" t="n">
        <v>2010</v>
      </c>
      <c r="D26" s="4" t="n">
        <v>17140</v>
      </c>
      <c r="E26" s="4" t="n">
        <v>79.8</v>
      </c>
      <c r="F26" s="4" t="n">
        <v>3.24</v>
      </c>
      <c r="G26" s="4" t="n">
        <v>2272.5</v>
      </c>
      <c r="H26" s="4" t="n">
        <v>40.4</v>
      </c>
      <c r="I26" s="4" t="n">
        <v>170.6</v>
      </c>
      <c r="J26" s="4" t="n">
        <v>1.88</v>
      </c>
      <c r="K26" s="4" t="n">
        <v>1.9</v>
      </c>
      <c r="L26" s="4" t="n">
        <v>475146</v>
      </c>
      <c r="M26" s="4" t="n">
        <v>152</v>
      </c>
      <c r="N26" s="5" t="inlineStr">
        <is>
          <t>Mantenimiento Próximo</t>
        </is>
      </c>
    </row>
    <row r="27">
      <c r="A27" s="6" t="inlineStr">
        <is>
          <t>CAM-024</t>
        </is>
      </c>
      <c r="B27" s="6" t="inlineStr">
        <is>
          <t>Caterpillar 797F</t>
        </is>
      </c>
      <c r="C27" s="6" t="n">
        <v>2019</v>
      </c>
      <c r="D27" s="6" t="n">
        <v>3186</v>
      </c>
      <c r="E27" s="6" t="n">
        <v>100.2</v>
      </c>
      <c r="F27" s="6" t="n">
        <v>4.83</v>
      </c>
      <c r="G27" s="6" t="n">
        <v>2002.6</v>
      </c>
      <c r="H27" s="6" t="n">
        <v>52.1</v>
      </c>
      <c r="I27" s="6" t="n">
        <v>161.3</v>
      </c>
      <c r="J27" s="6" t="n">
        <v>8.74</v>
      </c>
      <c r="K27" s="6" t="n">
        <v>0.73</v>
      </c>
      <c r="L27" s="6" t="n">
        <v>122588</v>
      </c>
      <c r="M27" s="6" t="n">
        <v>171</v>
      </c>
      <c r="N27" s="5" t="inlineStr">
        <is>
          <t>Mantenimiento Próximo</t>
        </is>
      </c>
    </row>
    <row r="28">
      <c r="A28" s="4" t="inlineStr">
        <is>
          <t>CAM-025</t>
        </is>
      </c>
      <c r="B28" s="4" t="inlineStr">
        <is>
          <t>BelAZ 75710</t>
        </is>
      </c>
      <c r="C28" s="4" t="n">
        <v>2014</v>
      </c>
      <c r="D28" s="4" t="n">
        <v>15482</v>
      </c>
      <c r="E28" s="4" t="n">
        <v>94</v>
      </c>
      <c r="F28" s="4" t="n">
        <v>5.51</v>
      </c>
      <c r="G28" s="4" t="n">
        <v>320.9</v>
      </c>
      <c r="H28" s="4" t="n">
        <v>30.6</v>
      </c>
      <c r="I28" s="4" t="n">
        <v>399.5</v>
      </c>
      <c r="J28" s="4" t="n">
        <v>11.96</v>
      </c>
      <c r="K28" s="4" t="n">
        <v>0.43</v>
      </c>
      <c r="L28" s="4" t="n">
        <v>319593</v>
      </c>
      <c r="M28" s="4" t="n">
        <v>67</v>
      </c>
      <c r="N28" s="5" t="inlineStr">
        <is>
          <t>Mantenimiento Próximo</t>
        </is>
      </c>
    </row>
    <row r="29">
      <c r="A29" s="6" t="inlineStr">
        <is>
          <t>CAM-026</t>
        </is>
      </c>
      <c r="B29" s="6" t="inlineStr">
        <is>
          <t>Komatsu 960E</t>
        </is>
      </c>
      <c r="C29" s="6" t="n">
        <v>2015</v>
      </c>
      <c r="D29" s="6" t="n">
        <v>2754</v>
      </c>
      <c r="E29" s="6" t="n">
        <v>127.8</v>
      </c>
      <c r="F29" s="6" t="n">
        <v>3.98</v>
      </c>
      <c r="G29" s="6" t="n">
        <v>639.2</v>
      </c>
      <c r="H29" s="6" t="n">
        <v>47.5</v>
      </c>
      <c r="I29" s="6" t="n">
        <v>311.1</v>
      </c>
      <c r="J29" s="6" t="n">
        <v>7.53</v>
      </c>
      <c r="K29" s="6" t="n">
        <v>2.08</v>
      </c>
      <c r="L29" s="6" t="n">
        <v>108431</v>
      </c>
      <c r="M29" s="6" t="n">
        <v>2</v>
      </c>
      <c r="N29" s="5" t="inlineStr">
        <is>
          <t>Mantenimiento Próximo</t>
        </is>
      </c>
    </row>
    <row r="30">
      <c r="A30" s="4" t="inlineStr">
        <is>
          <t>CAM-027</t>
        </is>
      </c>
      <c r="B30" s="4" t="inlineStr">
        <is>
          <t>BelAZ 75710</t>
        </is>
      </c>
      <c r="C30" s="4" t="n">
        <v>2023</v>
      </c>
      <c r="D30" s="4" t="n">
        <v>18673</v>
      </c>
      <c r="E30" s="4" t="n">
        <v>93</v>
      </c>
      <c r="F30" s="4" t="n">
        <v>5.15</v>
      </c>
      <c r="G30" s="4" t="n">
        <v>3556.9</v>
      </c>
      <c r="H30" s="4" t="n">
        <v>16</v>
      </c>
      <c r="I30" s="4" t="n">
        <v>134.6</v>
      </c>
      <c r="J30" s="4" t="n">
        <v>1.73</v>
      </c>
      <c r="K30" s="4" t="n">
        <v>1.3</v>
      </c>
      <c r="L30" s="4" t="n">
        <v>207740</v>
      </c>
      <c r="M30" s="4" t="n">
        <v>154</v>
      </c>
      <c r="N30" s="5" t="inlineStr">
        <is>
          <t>Mantenimiento Próximo</t>
        </is>
      </c>
    </row>
    <row r="31">
      <c r="A31" s="6" t="inlineStr">
        <is>
          <t>CAM-028</t>
        </is>
      </c>
      <c r="B31" s="6" t="inlineStr">
        <is>
          <t>Komatsu 960E</t>
        </is>
      </c>
      <c r="C31" s="6" t="n">
        <v>2021</v>
      </c>
      <c r="D31" s="6" t="n">
        <v>11735</v>
      </c>
      <c r="E31" s="6" t="n">
        <v>87.2</v>
      </c>
      <c r="F31" s="6" t="n">
        <v>5.04</v>
      </c>
      <c r="G31" s="6" t="n">
        <v>1036</v>
      </c>
      <c r="H31" s="6" t="n">
        <v>32</v>
      </c>
      <c r="I31" s="6" t="n">
        <v>371.6</v>
      </c>
      <c r="J31" s="6" t="n">
        <v>10.23</v>
      </c>
      <c r="K31" s="6" t="n">
        <v>0.47</v>
      </c>
      <c r="L31" s="6" t="n">
        <v>280983</v>
      </c>
      <c r="M31" s="6" t="n">
        <v>70</v>
      </c>
      <c r="N31" s="5" t="inlineStr">
        <is>
          <t>Mantenimiento Próximo</t>
        </is>
      </c>
    </row>
    <row r="32">
      <c r="A32" s="4" t="inlineStr">
        <is>
          <t>CAM-029</t>
        </is>
      </c>
      <c r="B32" s="4" t="inlineStr">
        <is>
          <t>Caterpillar 797F</t>
        </is>
      </c>
      <c r="C32" s="4" t="n">
        <v>2010</v>
      </c>
      <c r="D32" s="4" t="n">
        <v>11429</v>
      </c>
      <c r="E32" s="4" t="n">
        <v>121.3</v>
      </c>
      <c r="F32" s="4" t="n">
        <v>5.05</v>
      </c>
      <c r="G32" s="4" t="n">
        <v>1028.4</v>
      </c>
      <c r="H32" s="4" t="n">
        <v>43.4</v>
      </c>
      <c r="I32" s="4" t="n">
        <v>265.5</v>
      </c>
      <c r="J32" s="4" t="n">
        <v>5.42</v>
      </c>
      <c r="K32" s="4" t="n">
        <v>0.32</v>
      </c>
      <c r="L32" s="4" t="n">
        <v>310674</v>
      </c>
      <c r="M32" s="4" t="n">
        <v>176</v>
      </c>
      <c r="N32" s="5" t="inlineStr">
        <is>
          <t>Mantenimiento Próximo</t>
        </is>
      </c>
    </row>
    <row r="33">
      <c r="A33" s="6" t="inlineStr">
        <is>
          <t>CAM-030</t>
        </is>
      </c>
      <c r="B33" s="6" t="inlineStr">
        <is>
          <t>Komatsu 960E</t>
        </is>
      </c>
      <c r="C33" s="6" t="n">
        <v>2018</v>
      </c>
      <c r="D33" s="6" t="n">
        <v>1680</v>
      </c>
      <c r="E33" s="6" t="n">
        <v>125.1</v>
      </c>
      <c r="F33" s="6" t="n">
        <v>4.83</v>
      </c>
      <c r="G33" s="6" t="n">
        <v>603.1</v>
      </c>
      <c r="H33" s="6" t="n">
        <v>15.7</v>
      </c>
      <c r="I33" s="6" t="n">
        <v>192.5</v>
      </c>
      <c r="J33" s="6" t="n">
        <v>10.84</v>
      </c>
      <c r="K33" s="6" t="n">
        <v>1.73</v>
      </c>
      <c r="L33" s="6" t="n">
        <v>23771</v>
      </c>
      <c r="M33" s="6" t="n">
        <v>91</v>
      </c>
      <c r="N33" s="8" t="inlineStr">
        <is>
          <t>Mantenimiento Urgente</t>
        </is>
      </c>
    </row>
    <row r="34">
      <c r="A34" s="4" t="inlineStr">
        <is>
          <t>CAM-031</t>
        </is>
      </c>
      <c r="B34" s="4" t="inlineStr">
        <is>
          <t>Komatsu 960E</t>
        </is>
      </c>
      <c r="C34" s="4" t="n">
        <v>2020</v>
      </c>
      <c r="D34" s="4" t="n">
        <v>8676</v>
      </c>
      <c r="E34" s="4" t="n">
        <v>115</v>
      </c>
      <c r="F34" s="4" t="n">
        <v>3.91</v>
      </c>
      <c r="G34" s="4" t="n">
        <v>2141.2</v>
      </c>
      <c r="H34" s="4" t="n">
        <v>49.4</v>
      </c>
      <c r="I34" s="4" t="n">
        <v>392.2</v>
      </c>
      <c r="J34" s="4" t="n">
        <v>9.119999999999999</v>
      </c>
      <c r="K34" s="4" t="n">
        <v>1.97</v>
      </c>
      <c r="L34" s="4" t="n">
        <v>292669</v>
      </c>
      <c r="M34" s="4" t="n">
        <v>41</v>
      </c>
      <c r="N34" s="5" t="inlineStr">
        <is>
          <t>Mantenimiento Próximo</t>
        </is>
      </c>
    </row>
    <row r="35">
      <c r="A35" s="6" t="inlineStr">
        <is>
          <t>CAM-032</t>
        </is>
      </c>
      <c r="B35" s="6" t="inlineStr">
        <is>
          <t>Komatsu 960E</t>
        </is>
      </c>
      <c r="C35" s="6" t="n">
        <v>2016</v>
      </c>
      <c r="D35" s="6" t="n">
        <v>1312</v>
      </c>
      <c r="E35" s="6" t="n">
        <v>85.8</v>
      </c>
      <c r="F35" s="6" t="n">
        <v>6.2</v>
      </c>
      <c r="G35" s="6" t="n">
        <v>2972.2</v>
      </c>
      <c r="H35" s="6" t="n">
        <v>28.5</v>
      </c>
      <c r="I35" s="6" t="n">
        <v>301</v>
      </c>
      <c r="J35" s="6" t="n">
        <v>8.949999999999999</v>
      </c>
      <c r="K35" s="6" t="n">
        <v>0.75</v>
      </c>
      <c r="L35" s="6" t="n">
        <v>24519</v>
      </c>
      <c r="M35" s="6" t="n">
        <v>179</v>
      </c>
      <c r="N35" s="5" t="inlineStr">
        <is>
          <t>Mantenimiento Próximo</t>
        </is>
      </c>
    </row>
    <row r="36">
      <c r="A36" s="4" t="inlineStr">
        <is>
          <t>CAM-033</t>
        </is>
      </c>
      <c r="B36" s="4" t="inlineStr">
        <is>
          <t>Caterpillar 797F</t>
        </is>
      </c>
      <c r="C36" s="4" t="n">
        <v>2016</v>
      </c>
      <c r="D36" s="4" t="n">
        <v>1768</v>
      </c>
      <c r="E36" s="4" t="n">
        <v>126.5</v>
      </c>
      <c r="F36" s="4" t="n">
        <v>3.39</v>
      </c>
      <c r="G36" s="4" t="n">
        <v>3100</v>
      </c>
      <c r="H36" s="4" t="n">
        <v>30.7</v>
      </c>
      <c r="I36" s="4" t="n">
        <v>191.6</v>
      </c>
      <c r="J36" s="4" t="n">
        <v>9.65</v>
      </c>
      <c r="K36" s="4" t="n">
        <v>0.71</v>
      </c>
      <c r="L36" s="4" t="n">
        <v>33016</v>
      </c>
      <c r="M36" s="4" t="n">
        <v>49</v>
      </c>
      <c r="N36" s="8" t="inlineStr">
        <is>
          <t>Mantenimiento Urgente</t>
        </is>
      </c>
    </row>
    <row r="37">
      <c r="A37" s="6" t="inlineStr">
        <is>
          <t>CAM-034</t>
        </is>
      </c>
      <c r="B37" s="6" t="inlineStr">
        <is>
          <t>Hitachi EH5000</t>
        </is>
      </c>
      <c r="C37" s="6" t="n">
        <v>2015</v>
      </c>
      <c r="D37" s="6" t="n">
        <v>9629</v>
      </c>
      <c r="E37" s="6" t="n">
        <v>126.9</v>
      </c>
      <c r="F37" s="6" t="n">
        <v>6.37</v>
      </c>
      <c r="G37" s="6" t="n">
        <v>1092.5</v>
      </c>
      <c r="H37" s="6" t="n">
        <v>38.9</v>
      </c>
      <c r="I37" s="6" t="n">
        <v>219.9</v>
      </c>
      <c r="J37" s="6" t="n">
        <v>11.78</v>
      </c>
      <c r="K37" s="6" t="n">
        <v>1.27</v>
      </c>
      <c r="L37" s="6" t="n">
        <v>347874</v>
      </c>
      <c r="M37" s="6" t="n">
        <v>29</v>
      </c>
      <c r="N37" s="8" t="inlineStr">
        <is>
          <t>Mantenimiento Urgente</t>
        </is>
      </c>
    </row>
    <row r="38">
      <c r="A38" s="4" t="inlineStr">
        <is>
          <t>CAM-035</t>
        </is>
      </c>
      <c r="B38" s="4" t="inlineStr">
        <is>
          <t>Liebherr T 282C</t>
        </is>
      </c>
      <c r="C38" s="4" t="n">
        <v>2012</v>
      </c>
      <c r="D38" s="4" t="n">
        <v>19524</v>
      </c>
      <c r="E38" s="4" t="n">
        <v>132.8</v>
      </c>
      <c r="F38" s="4" t="n">
        <v>3.56</v>
      </c>
      <c r="G38" s="4" t="n">
        <v>454.9</v>
      </c>
      <c r="H38" s="4" t="n">
        <v>29.6</v>
      </c>
      <c r="I38" s="4" t="n">
        <v>318.6</v>
      </c>
      <c r="J38" s="4" t="n">
        <v>4.11</v>
      </c>
      <c r="K38" s="4" t="n">
        <v>1.39</v>
      </c>
      <c r="L38" s="4" t="n">
        <v>450191</v>
      </c>
      <c r="M38" s="4" t="n">
        <v>98</v>
      </c>
      <c r="N38" s="8" t="inlineStr">
        <is>
          <t>Mantenimiento Urgente</t>
        </is>
      </c>
    </row>
    <row r="39">
      <c r="A39" s="6" t="inlineStr">
        <is>
          <t>CAM-036</t>
        </is>
      </c>
      <c r="B39" s="6" t="inlineStr">
        <is>
          <t>Terex MT6300</t>
        </is>
      </c>
      <c r="C39" s="6" t="n">
        <v>2013</v>
      </c>
      <c r="D39" s="6" t="n">
        <v>8846</v>
      </c>
      <c r="E39" s="6" t="n">
        <v>77.7</v>
      </c>
      <c r="F39" s="6" t="n">
        <v>4.24</v>
      </c>
      <c r="G39" s="6" t="n">
        <v>1991.9</v>
      </c>
      <c r="H39" s="6" t="n">
        <v>46.3</v>
      </c>
      <c r="I39" s="6" t="n">
        <v>306.1</v>
      </c>
      <c r="J39" s="6" t="n">
        <v>11.31</v>
      </c>
      <c r="K39" s="6" t="n">
        <v>1.63</v>
      </c>
      <c r="L39" s="6" t="n">
        <v>273987</v>
      </c>
      <c r="M39" s="6" t="n">
        <v>110</v>
      </c>
      <c r="N39" s="5" t="inlineStr">
        <is>
          <t>Mantenimiento Próximo</t>
        </is>
      </c>
    </row>
    <row r="40">
      <c r="A40" s="4" t="inlineStr">
        <is>
          <t>CAM-037</t>
        </is>
      </c>
      <c r="B40" s="4" t="inlineStr">
        <is>
          <t>Caterpillar 797F</t>
        </is>
      </c>
      <c r="C40" s="4" t="n">
        <v>2020</v>
      </c>
      <c r="D40" s="4" t="n">
        <v>11319</v>
      </c>
      <c r="E40" s="4" t="n">
        <v>112.4</v>
      </c>
      <c r="F40" s="4" t="n">
        <v>5.15</v>
      </c>
      <c r="G40" s="4" t="n">
        <v>515.5</v>
      </c>
      <c r="H40" s="4" t="n">
        <v>50.5</v>
      </c>
      <c r="I40" s="4" t="n">
        <v>252.1</v>
      </c>
      <c r="J40" s="4" t="n">
        <v>8.17</v>
      </c>
      <c r="K40" s="4" t="n">
        <v>0.89</v>
      </c>
      <c r="L40" s="4" t="n">
        <v>482452</v>
      </c>
      <c r="M40" s="4" t="n">
        <v>141</v>
      </c>
      <c r="N40" s="5" t="inlineStr">
        <is>
          <t>Mantenimiento Próximo</t>
        </is>
      </c>
    </row>
    <row r="41">
      <c r="A41" s="6" t="inlineStr">
        <is>
          <t>CAM-038</t>
        </is>
      </c>
      <c r="B41" s="6" t="inlineStr">
        <is>
          <t>Komatsu 960E</t>
        </is>
      </c>
      <c r="C41" s="6" t="n">
        <v>2013</v>
      </c>
      <c r="D41" s="6" t="n">
        <v>14277</v>
      </c>
      <c r="E41" s="6" t="n">
        <v>114.9</v>
      </c>
      <c r="F41" s="6" t="n">
        <v>4.02</v>
      </c>
      <c r="G41" s="6" t="n">
        <v>2844.3</v>
      </c>
      <c r="H41" s="6" t="n">
        <v>17.8</v>
      </c>
      <c r="I41" s="6" t="n">
        <v>270.7</v>
      </c>
      <c r="J41" s="6" t="n">
        <v>5.17</v>
      </c>
      <c r="K41" s="6" t="n">
        <v>1.8</v>
      </c>
      <c r="L41" s="6" t="n">
        <v>179507</v>
      </c>
      <c r="M41" s="6" t="n">
        <v>53</v>
      </c>
      <c r="N41" s="7" t="inlineStr">
        <is>
          <t>Operativo Normal</t>
        </is>
      </c>
    </row>
    <row r="42">
      <c r="A42" s="4" t="inlineStr">
        <is>
          <t>CAM-039</t>
        </is>
      </c>
      <c r="B42" s="4" t="inlineStr">
        <is>
          <t>Hitachi EH5000</t>
        </is>
      </c>
      <c r="C42" s="4" t="n">
        <v>2022</v>
      </c>
      <c r="D42" s="4" t="n">
        <v>19504</v>
      </c>
      <c r="E42" s="4" t="n">
        <v>111.4</v>
      </c>
      <c r="F42" s="4" t="n">
        <v>3.79</v>
      </c>
      <c r="G42" s="4" t="n">
        <v>1700.1</v>
      </c>
      <c r="H42" s="4" t="n">
        <v>40.4</v>
      </c>
      <c r="I42" s="4" t="n">
        <v>253.4</v>
      </c>
      <c r="J42" s="4" t="n">
        <v>9.630000000000001</v>
      </c>
      <c r="K42" s="4" t="n">
        <v>2.03</v>
      </c>
      <c r="L42" s="4" t="n">
        <v>675745</v>
      </c>
      <c r="M42" s="4" t="n">
        <v>168</v>
      </c>
      <c r="N42" s="8" t="inlineStr">
        <is>
          <t>Mantenimiento Urgente</t>
        </is>
      </c>
    </row>
    <row r="43">
      <c r="A43" s="6" t="inlineStr">
        <is>
          <t>CAM-040</t>
        </is>
      </c>
      <c r="B43" s="6" t="inlineStr">
        <is>
          <t>Caterpillar 797F</t>
        </is>
      </c>
      <c r="C43" s="6" t="n">
        <v>2014</v>
      </c>
      <c r="D43" s="6" t="n">
        <v>17390</v>
      </c>
      <c r="E43" s="6" t="n">
        <v>114.8</v>
      </c>
      <c r="F43" s="6" t="n">
        <v>4.98</v>
      </c>
      <c r="G43" s="6" t="n">
        <v>398.8</v>
      </c>
      <c r="H43" s="6" t="n">
        <v>52.8</v>
      </c>
      <c r="I43" s="6" t="n">
        <v>170.5</v>
      </c>
      <c r="J43" s="6" t="n">
        <v>4.07</v>
      </c>
      <c r="K43" s="6" t="n">
        <v>1.75</v>
      </c>
      <c r="L43" s="6" t="n">
        <v>598270</v>
      </c>
      <c r="M43" s="6" t="n">
        <v>11</v>
      </c>
      <c r="N43" s="7" t="inlineStr">
        <is>
          <t>Operativo Normal</t>
        </is>
      </c>
    </row>
    <row r="44">
      <c r="A44" s="4" t="inlineStr">
        <is>
          <t>CAM-041</t>
        </is>
      </c>
      <c r="B44" s="4" t="inlineStr">
        <is>
          <t>Komatsu 960E</t>
        </is>
      </c>
      <c r="C44" s="4" t="n">
        <v>2017</v>
      </c>
      <c r="D44" s="4" t="n">
        <v>20530</v>
      </c>
      <c r="E44" s="4" t="n">
        <v>126</v>
      </c>
      <c r="F44" s="4" t="n">
        <v>2.79</v>
      </c>
      <c r="G44" s="4" t="n">
        <v>1597.9</v>
      </c>
      <c r="H44" s="4" t="n">
        <v>38.3</v>
      </c>
      <c r="I44" s="4" t="n">
        <v>158.3</v>
      </c>
      <c r="J44" s="4" t="n">
        <v>8.51</v>
      </c>
      <c r="K44" s="4" t="n">
        <v>1.19</v>
      </c>
      <c r="L44" s="4" t="n">
        <v>538925</v>
      </c>
      <c r="M44" s="4" t="n">
        <v>167</v>
      </c>
      <c r="N44" s="8" t="inlineStr">
        <is>
          <t>Mantenimiento Urgente</t>
        </is>
      </c>
    </row>
    <row r="45">
      <c r="A45" s="6" t="inlineStr">
        <is>
          <t>CAM-042</t>
        </is>
      </c>
      <c r="B45" s="6" t="inlineStr">
        <is>
          <t>BelAZ 75710</t>
        </is>
      </c>
      <c r="C45" s="6" t="n">
        <v>2010</v>
      </c>
      <c r="D45" s="6" t="n">
        <v>3992</v>
      </c>
      <c r="E45" s="6" t="n">
        <v>121.7</v>
      </c>
      <c r="F45" s="6" t="n">
        <v>3.38</v>
      </c>
      <c r="G45" s="6" t="n">
        <v>3053.4</v>
      </c>
      <c r="H45" s="6" t="n">
        <v>41.3</v>
      </c>
      <c r="I45" s="6" t="n">
        <v>239.4</v>
      </c>
      <c r="J45" s="6" t="n">
        <v>6.91</v>
      </c>
      <c r="K45" s="6" t="n">
        <v>1.95</v>
      </c>
      <c r="L45" s="6" t="n">
        <v>105925</v>
      </c>
      <c r="M45" s="6" t="n">
        <v>34</v>
      </c>
      <c r="N45" s="5" t="inlineStr">
        <is>
          <t>Mantenimiento Próximo</t>
        </is>
      </c>
    </row>
    <row r="46">
      <c r="A46" s="4" t="inlineStr">
        <is>
          <t>CAM-043</t>
        </is>
      </c>
      <c r="B46" s="4" t="inlineStr">
        <is>
          <t>Hitachi EH5000</t>
        </is>
      </c>
      <c r="C46" s="4" t="n">
        <v>2020</v>
      </c>
      <c r="D46" s="4" t="n">
        <v>17904</v>
      </c>
      <c r="E46" s="4" t="n">
        <v>134.3</v>
      </c>
      <c r="F46" s="4" t="n">
        <v>4.88</v>
      </c>
      <c r="G46" s="4" t="n">
        <v>3598.4</v>
      </c>
      <c r="H46" s="4" t="n">
        <v>50.1</v>
      </c>
      <c r="I46" s="4" t="n">
        <v>283.8</v>
      </c>
      <c r="J46" s="4" t="n">
        <v>8.77</v>
      </c>
      <c r="K46" s="4" t="n">
        <v>1.21</v>
      </c>
      <c r="L46" s="4" t="n">
        <v>798949</v>
      </c>
      <c r="M46" s="4" t="n">
        <v>140</v>
      </c>
      <c r="N46" s="8" t="inlineStr">
        <is>
          <t>Mantenimiento Urgente</t>
        </is>
      </c>
    </row>
    <row r="47">
      <c r="A47" s="6" t="inlineStr">
        <is>
          <t>CAM-044</t>
        </is>
      </c>
      <c r="B47" s="6" t="inlineStr">
        <is>
          <t>Hitachi EH5000</t>
        </is>
      </c>
      <c r="C47" s="6" t="n">
        <v>2012</v>
      </c>
      <c r="D47" s="6" t="n">
        <v>24868</v>
      </c>
      <c r="E47" s="6" t="n">
        <v>126.7</v>
      </c>
      <c r="F47" s="6" t="n">
        <v>4.3</v>
      </c>
      <c r="G47" s="6" t="n">
        <v>2857.9</v>
      </c>
      <c r="H47" s="6" t="n">
        <v>47.8</v>
      </c>
      <c r="I47" s="6" t="n">
        <v>183.2</v>
      </c>
      <c r="J47" s="6" t="n">
        <v>9.44</v>
      </c>
      <c r="K47" s="6" t="n">
        <v>1.17</v>
      </c>
      <c r="L47" s="6" t="n">
        <v>812750</v>
      </c>
      <c r="M47" s="6" t="n">
        <v>112</v>
      </c>
      <c r="N47" s="8" t="inlineStr">
        <is>
          <t>Mantenimiento Urgente</t>
        </is>
      </c>
    </row>
    <row r="48">
      <c r="A48" s="4" t="inlineStr">
        <is>
          <t>CAM-045</t>
        </is>
      </c>
      <c r="B48" s="4" t="inlineStr">
        <is>
          <t>Caterpillar 797F</t>
        </is>
      </c>
      <c r="C48" s="4" t="n">
        <v>2021</v>
      </c>
      <c r="D48" s="4" t="n">
        <v>9862</v>
      </c>
      <c r="E48" s="4" t="n">
        <v>89.09999999999999</v>
      </c>
      <c r="F48" s="4" t="n">
        <v>3.84</v>
      </c>
      <c r="G48" s="4" t="n">
        <v>3385.5</v>
      </c>
      <c r="H48" s="4" t="n">
        <v>13.6</v>
      </c>
      <c r="I48" s="4" t="n">
        <v>145.2</v>
      </c>
      <c r="J48" s="4" t="n">
        <v>4.9</v>
      </c>
      <c r="K48" s="4" t="n">
        <v>0.58</v>
      </c>
      <c r="L48" s="4" t="n">
        <v>90518</v>
      </c>
      <c r="M48" s="4" t="n">
        <v>106</v>
      </c>
      <c r="N48" s="7" t="inlineStr">
        <is>
          <t>Operativo Normal</t>
        </is>
      </c>
    </row>
    <row r="49">
      <c r="A49" s="6" t="inlineStr">
        <is>
          <t>CAM-046</t>
        </is>
      </c>
      <c r="B49" s="6" t="inlineStr">
        <is>
          <t>Hitachi EH5000</t>
        </is>
      </c>
      <c r="C49" s="6" t="n">
        <v>2015</v>
      </c>
      <c r="D49" s="6" t="n">
        <v>18280</v>
      </c>
      <c r="E49" s="6" t="n">
        <v>103</v>
      </c>
      <c r="F49" s="6" t="n">
        <v>2.75</v>
      </c>
      <c r="G49" s="6" t="n">
        <v>3160.8</v>
      </c>
      <c r="H49" s="6" t="n">
        <v>27.5</v>
      </c>
      <c r="I49" s="6" t="n">
        <v>330.9</v>
      </c>
      <c r="J49" s="6" t="n">
        <v>11.38</v>
      </c>
      <c r="K49" s="6" t="n">
        <v>0.34</v>
      </c>
      <c r="L49" s="6" t="n">
        <v>456567</v>
      </c>
      <c r="M49" s="6" t="n">
        <v>147</v>
      </c>
      <c r="N49" s="8" t="inlineStr">
        <is>
          <t>Mantenimiento Urgente</t>
        </is>
      </c>
    </row>
    <row r="50">
      <c r="A50" s="4" t="inlineStr">
        <is>
          <t>CAM-047</t>
        </is>
      </c>
      <c r="B50" s="4" t="inlineStr">
        <is>
          <t>Hitachi EH5000</t>
        </is>
      </c>
      <c r="C50" s="4" t="n">
        <v>2017</v>
      </c>
      <c r="D50" s="4" t="n">
        <v>693</v>
      </c>
      <c r="E50" s="4" t="n">
        <v>131.6</v>
      </c>
      <c r="F50" s="4" t="n">
        <v>3.69</v>
      </c>
      <c r="G50" s="4" t="n">
        <v>1506.6</v>
      </c>
      <c r="H50" s="4" t="n">
        <v>50.1</v>
      </c>
      <c r="I50" s="4" t="n">
        <v>350.7</v>
      </c>
      <c r="J50" s="4" t="n">
        <v>6.69</v>
      </c>
      <c r="K50" s="4" t="n">
        <v>1.62</v>
      </c>
      <c r="L50" s="4" t="n">
        <v>30551</v>
      </c>
      <c r="M50" s="4" t="n">
        <v>56</v>
      </c>
      <c r="N50" s="5" t="inlineStr">
        <is>
          <t>Mantenimiento Próximo</t>
        </is>
      </c>
    </row>
    <row r="51">
      <c r="A51" s="6" t="inlineStr">
        <is>
          <t>CAM-048</t>
        </is>
      </c>
      <c r="B51" s="6" t="inlineStr">
        <is>
          <t>Hitachi EH5000</t>
        </is>
      </c>
      <c r="C51" s="6" t="n">
        <v>2013</v>
      </c>
      <c r="D51" s="6" t="n">
        <v>9443</v>
      </c>
      <c r="E51" s="6" t="n">
        <v>101.2</v>
      </c>
      <c r="F51" s="6" t="n">
        <v>2.62</v>
      </c>
      <c r="G51" s="6" t="n">
        <v>1305.4</v>
      </c>
      <c r="H51" s="6" t="n">
        <v>40.6</v>
      </c>
      <c r="I51" s="6" t="n">
        <v>221.3</v>
      </c>
      <c r="J51" s="6" t="n">
        <v>2.4</v>
      </c>
      <c r="K51" s="6" t="n">
        <v>1.14</v>
      </c>
      <c r="L51" s="6" t="n">
        <v>247157</v>
      </c>
      <c r="M51" s="6" t="n">
        <v>159</v>
      </c>
      <c r="N51" s="5" t="inlineStr">
        <is>
          <t>Mantenimiento Próximo</t>
        </is>
      </c>
    </row>
    <row r="52">
      <c r="A52" s="4" t="inlineStr">
        <is>
          <t>CAM-049</t>
        </is>
      </c>
      <c r="B52" s="4" t="inlineStr">
        <is>
          <t>Terex MT6300</t>
        </is>
      </c>
      <c r="C52" s="4" t="n">
        <v>2010</v>
      </c>
      <c r="D52" s="4" t="n">
        <v>13411</v>
      </c>
      <c r="E52" s="4" t="n">
        <v>110.5</v>
      </c>
      <c r="F52" s="4" t="n">
        <v>5.15</v>
      </c>
      <c r="G52" s="4" t="n">
        <v>363.5</v>
      </c>
      <c r="H52" s="4" t="n">
        <v>29.3</v>
      </c>
      <c r="I52" s="4" t="n">
        <v>360.1</v>
      </c>
      <c r="J52" s="4" t="n">
        <v>2.59</v>
      </c>
      <c r="K52" s="4" t="n">
        <v>0.77</v>
      </c>
      <c r="L52" s="4" t="n">
        <v>280786</v>
      </c>
      <c r="M52" s="4" t="n">
        <v>116</v>
      </c>
      <c r="N52" s="5" t="inlineStr">
        <is>
          <t>Mantenimiento Próximo</t>
        </is>
      </c>
    </row>
    <row r="53">
      <c r="A53" s="6" t="inlineStr">
        <is>
          <t>CAM-050</t>
        </is>
      </c>
      <c r="B53" s="6" t="inlineStr">
        <is>
          <t>Liebherr T 282C</t>
        </is>
      </c>
      <c r="C53" s="6" t="n">
        <v>2015</v>
      </c>
      <c r="D53" s="6" t="n">
        <v>12923</v>
      </c>
      <c r="E53" s="6" t="n">
        <v>91.7</v>
      </c>
      <c r="F53" s="6" t="n">
        <v>6.3</v>
      </c>
      <c r="G53" s="6" t="n">
        <v>1624.5</v>
      </c>
      <c r="H53" s="6" t="n">
        <v>47.6</v>
      </c>
      <c r="I53" s="6" t="n">
        <v>241.1</v>
      </c>
      <c r="J53" s="6" t="n">
        <v>9.109999999999999</v>
      </c>
      <c r="K53" s="6" t="n">
        <v>0.39</v>
      </c>
      <c r="L53" s="6" t="n">
        <v>574027</v>
      </c>
      <c r="M53" s="6" t="n">
        <v>57</v>
      </c>
      <c r="N53" s="5" t="inlineStr">
        <is>
          <t>Mantenimiento Próximo</t>
        </is>
      </c>
    </row>
    <row r="54">
      <c r="A54" s="4" t="inlineStr">
        <is>
          <t>CAM-051</t>
        </is>
      </c>
      <c r="B54" s="4" t="inlineStr">
        <is>
          <t>BelAZ 75710</t>
        </is>
      </c>
      <c r="C54" s="4" t="n">
        <v>2011</v>
      </c>
      <c r="D54" s="4" t="n">
        <v>21856</v>
      </c>
      <c r="E54" s="4" t="n">
        <v>77.40000000000001</v>
      </c>
      <c r="F54" s="4" t="n">
        <v>2.62</v>
      </c>
      <c r="G54" s="4" t="n">
        <v>973.6</v>
      </c>
      <c r="H54" s="4" t="n">
        <v>47.8</v>
      </c>
      <c r="I54" s="4" t="n">
        <v>286.4</v>
      </c>
      <c r="J54" s="4" t="n">
        <v>3.24</v>
      </c>
      <c r="K54" s="4" t="n">
        <v>1.15</v>
      </c>
      <c r="L54" s="4" t="n">
        <v>668657</v>
      </c>
      <c r="M54" s="4" t="n">
        <v>55</v>
      </c>
      <c r="N54" s="5" t="inlineStr">
        <is>
          <t>Mantenimiento Próximo</t>
        </is>
      </c>
    </row>
    <row r="55">
      <c r="A55" s="6" t="inlineStr">
        <is>
          <t>CAM-052</t>
        </is>
      </c>
      <c r="B55" s="6" t="inlineStr">
        <is>
          <t>Hitachi EH5000</t>
        </is>
      </c>
      <c r="C55" s="6" t="n">
        <v>2021</v>
      </c>
      <c r="D55" s="6" t="n">
        <v>8896</v>
      </c>
      <c r="E55" s="6" t="n">
        <v>121</v>
      </c>
      <c r="F55" s="6" t="n">
        <v>3.17</v>
      </c>
      <c r="G55" s="6" t="n">
        <v>2318.1</v>
      </c>
      <c r="H55" s="6" t="n">
        <v>43.7</v>
      </c>
      <c r="I55" s="6" t="n">
        <v>134.4</v>
      </c>
      <c r="J55" s="6" t="n">
        <v>9.92</v>
      </c>
      <c r="K55" s="6" t="n">
        <v>2.04</v>
      </c>
      <c r="L55" s="6" t="n">
        <v>247962</v>
      </c>
      <c r="M55" s="6" t="n">
        <v>6</v>
      </c>
      <c r="N55" s="8" t="inlineStr">
        <is>
          <t>Mantenimiento Urgente</t>
        </is>
      </c>
    </row>
    <row r="56">
      <c r="A56" s="4" t="inlineStr">
        <is>
          <t>CAM-053</t>
        </is>
      </c>
      <c r="B56" s="4" t="inlineStr">
        <is>
          <t>Liebherr T 282C</t>
        </is>
      </c>
      <c r="C56" s="4" t="n">
        <v>2019</v>
      </c>
      <c r="D56" s="4" t="n">
        <v>22695</v>
      </c>
      <c r="E56" s="4" t="n">
        <v>129.5</v>
      </c>
      <c r="F56" s="4" t="n">
        <v>4</v>
      </c>
      <c r="G56" s="4" t="n">
        <v>3566.4</v>
      </c>
      <c r="H56" s="4" t="n">
        <v>18.9</v>
      </c>
      <c r="I56" s="4" t="n">
        <v>277.6</v>
      </c>
      <c r="J56" s="4" t="n">
        <v>10.05</v>
      </c>
      <c r="K56" s="4" t="n">
        <v>0.74</v>
      </c>
      <c r="L56" s="4" t="n">
        <v>362029</v>
      </c>
      <c r="M56" s="4" t="n">
        <v>77</v>
      </c>
      <c r="N56" s="8" t="inlineStr">
        <is>
          <t>Mantenimiento Urgente</t>
        </is>
      </c>
    </row>
    <row r="57">
      <c r="A57" s="6" t="inlineStr">
        <is>
          <t>CAM-054</t>
        </is>
      </c>
      <c r="B57" s="6" t="inlineStr">
        <is>
          <t>BelAZ 75710</t>
        </is>
      </c>
      <c r="C57" s="6" t="n">
        <v>2019</v>
      </c>
      <c r="D57" s="6" t="n">
        <v>4466</v>
      </c>
      <c r="E57" s="6" t="n">
        <v>122.8</v>
      </c>
      <c r="F57" s="6" t="n">
        <v>4.76</v>
      </c>
      <c r="G57" s="6" t="n">
        <v>203.4</v>
      </c>
      <c r="H57" s="6" t="n">
        <v>34</v>
      </c>
      <c r="I57" s="6" t="n">
        <v>298.5</v>
      </c>
      <c r="J57" s="6" t="n">
        <v>1.29</v>
      </c>
      <c r="K57" s="6" t="n">
        <v>1.47</v>
      </c>
      <c r="L57" s="6" t="n">
        <v>91779</v>
      </c>
      <c r="M57" s="6" t="n">
        <v>107</v>
      </c>
      <c r="N57" s="5" t="inlineStr">
        <is>
          <t>Mantenimiento Próximo</t>
        </is>
      </c>
    </row>
    <row r="58">
      <c r="A58" s="4" t="inlineStr">
        <is>
          <t>CAM-055</t>
        </is>
      </c>
      <c r="B58" s="4" t="inlineStr">
        <is>
          <t>Hitachi EH5000</t>
        </is>
      </c>
      <c r="C58" s="4" t="n">
        <v>2011</v>
      </c>
      <c r="D58" s="4" t="n">
        <v>14705</v>
      </c>
      <c r="E58" s="4" t="n">
        <v>132.6</v>
      </c>
      <c r="F58" s="4" t="n">
        <v>5.04</v>
      </c>
      <c r="G58" s="4" t="n">
        <v>3145.2</v>
      </c>
      <c r="H58" s="4" t="n">
        <v>41.8</v>
      </c>
      <c r="I58" s="4" t="n">
        <v>230.6</v>
      </c>
      <c r="J58" s="4" t="n">
        <v>8.94</v>
      </c>
      <c r="K58" s="4" t="n">
        <v>2.04</v>
      </c>
      <c r="L58" s="4" t="n">
        <v>426905</v>
      </c>
      <c r="M58" s="4" t="n">
        <v>137</v>
      </c>
      <c r="N58" s="8" t="inlineStr">
        <is>
          <t>Mantenimiento Urgente</t>
        </is>
      </c>
    </row>
    <row r="59">
      <c r="A59" s="6" t="inlineStr">
        <is>
          <t>CAM-056</t>
        </is>
      </c>
      <c r="B59" s="6" t="inlineStr">
        <is>
          <t>Hitachi EH5000</t>
        </is>
      </c>
      <c r="C59" s="6" t="n">
        <v>2017</v>
      </c>
      <c r="D59" s="6" t="n">
        <v>14772</v>
      </c>
      <c r="E59" s="6" t="n">
        <v>124.5</v>
      </c>
      <c r="F59" s="6" t="n">
        <v>4.87</v>
      </c>
      <c r="G59" s="6" t="n">
        <v>1253.8</v>
      </c>
      <c r="H59" s="6" t="n">
        <v>21</v>
      </c>
      <c r="I59" s="6" t="n">
        <v>380.4</v>
      </c>
      <c r="J59" s="6" t="n">
        <v>3.71</v>
      </c>
      <c r="K59" s="6" t="n">
        <v>1.11</v>
      </c>
      <c r="L59" s="6" t="n">
        <v>267610</v>
      </c>
      <c r="M59" s="6" t="n">
        <v>145</v>
      </c>
      <c r="N59" s="8" t="inlineStr">
        <is>
          <t>Mantenimiento Urgente</t>
        </is>
      </c>
    </row>
    <row r="60">
      <c r="A60" s="4" t="inlineStr">
        <is>
          <t>CAM-057</t>
        </is>
      </c>
      <c r="B60" s="4" t="inlineStr">
        <is>
          <t>Terex MT6300</t>
        </is>
      </c>
      <c r="C60" s="4" t="n">
        <v>2020</v>
      </c>
      <c r="D60" s="4" t="n">
        <v>12918</v>
      </c>
      <c r="E60" s="4" t="n">
        <v>95.2</v>
      </c>
      <c r="F60" s="4" t="n">
        <v>4.48</v>
      </c>
      <c r="G60" s="4" t="n">
        <v>1263.9</v>
      </c>
      <c r="H60" s="4" t="n">
        <v>31.9</v>
      </c>
      <c r="I60" s="4" t="n">
        <v>206.4</v>
      </c>
      <c r="J60" s="4" t="n">
        <v>3.47</v>
      </c>
      <c r="K60" s="4" t="n">
        <v>0.8</v>
      </c>
      <c r="L60" s="4" t="n">
        <v>333234</v>
      </c>
      <c r="M60" s="4" t="n">
        <v>70</v>
      </c>
      <c r="N60" s="7" t="inlineStr">
        <is>
          <t>Operativo Normal</t>
        </is>
      </c>
    </row>
    <row r="61">
      <c r="A61" s="6" t="inlineStr">
        <is>
          <t>CAM-058</t>
        </is>
      </c>
      <c r="B61" s="6" t="inlineStr">
        <is>
          <t>Terex MT6300</t>
        </is>
      </c>
      <c r="C61" s="6" t="n">
        <v>2010</v>
      </c>
      <c r="D61" s="6" t="n">
        <v>17428</v>
      </c>
      <c r="E61" s="6" t="n">
        <v>131.9</v>
      </c>
      <c r="F61" s="6" t="n">
        <v>2.84</v>
      </c>
      <c r="G61" s="6" t="n">
        <v>2739.5</v>
      </c>
      <c r="H61" s="6" t="n">
        <v>32</v>
      </c>
      <c r="I61" s="6" t="n">
        <v>327.4</v>
      </c>
      <c r="J61" s="6" t="n">
        <v>8.44</v>
      </c>
      <c r="K61" s="6" t="n">
        <v>1.46</v>
      </c>
      <c r="L61" s="6" t="n">
        <v>430423</v>
      </c>
      <c r="M61" s="6" t="n">
        <v>4</v>
      </c>
      <c r="N61" s="8" t="inlineStr">
        <is>
          <t>Mantenimiento Urgente</t>
        </is>
      </c>
    </row>
    <row r="62">
      <c r="A62" s="4" t="inlineStr">
        <is>
          <t>CAM-059</t>
        </is>
      </c>
      <c r="B62" s="4" t="inlineStr">
        <is>
          <t>Caterpillar 797F</t>
        </is>
      </c>
      <c r="C62" s="4" t="n">
        <v>2014</v>
      </c>
      <c r="D62" s="4" t="n">
        <v>7761</v>
      </c>
      <c r="E62" s="4" t="n">
        <v>99.3</v>
      </c>
      <c r="F62" s="4" t="n">
        <v>3.47</v>
      </c>
      <c r="G62" s="4" t="n">
        <v>2529.9</v>
      </c>
      <c r="H62" s="4" t="n">
        <v>26.6</v>
      </c>
      <c r="I62" s="4" t="n">
        <v>266</v>
      </c>
      <c r="J62" s="4" t="n">
        <v>4.45</v>
      </c>
      <c r="K62" s="4" t="n">
        <v>2.09</v>
      </c>
      <c r="L62" s="4" t="n">
        <v>163634</v>
      </c>
      <c r="M62" s="4" t="n">
        <v>90</v>
      </c>
      <c r="N62" s="7" t="inlineStr">
        <is>
          <t>Operativo Normal</t>
        </is>
      </c>
    </row>
    <row r="63">
      <c r="A63" s="6" t="inlineStr">
        <is>
          <t>CAM-060</t>
        </is>
      </c>
      <c r="B63" s="6" t="inlineStr">
        <is>
          <t>BelAZ 75710</t>
        </is>
      </c>
      <c r="C63" s="6" t="n">
        <v>2017</v>
      </c>
      <c r="D63" s="6" t="n">
        <v>9377</v>
      </c>
      <c r="E63" s="6" t="n">
        <v>93.40000000000001</v>
      </c>
      <c r="F63" s="6" t="n">
        <v>3.42</v>
      </c>
      <c r="G63" s="6" t="n">
        <v>2744</v>
      </c>
      <c r="H63" s="6" t="n">
        <v>24.2</v>
      </c>
      <c r="I63" s="6" t="n">
        <v>322.9</v>
      </c>
      <c r="J63" s="6" t="n">
        <v>11.44</v>
      </c>
      <c r="K63" s="6" t="n">
        <v>1.54</v>
      </c>
      <c r="L63" s="6" t="n">
        <v>151367</v>
      </c>
      <c r="M63" s="6" t="n">
        <v>123</v>
      </c>
      <c r="N63" s="8" t="inlineStr">
        <is>
          <t>Mantenimiento Urgente</t>
        </is>
      </c>
    </row>
    <row r="64">
      <c r="A64" s="4" t="inlineStr">
        <is>
          <t>CAM-061</t>
        </is>
      </c>
      <c r="B64" s="4" t="inlineStr">
        <is>
          <t>Liebherr T 282C</t>
        </is>
      </c>
      <c r="C64" s="4" t="n">
        <v>2021</v>
      </c>
      <c r="D64" s="4" t="n">
        <v>19819</v>
      </c>
      <c r="E64" s="4" t="n">
        <v>133.6</v>
      </c>
      <c r="F64" s="4" t="n">
        <v>4.6</v>
      </c>
      <c r="G64" s="4" t="n">
        <v>1107</v>
      </c>
      <c r="H64" s="4" t="n">
        <v>14.5</v>
      </c>
      <c r="I64" s="4" t="n">
        <v>158.2</v>
      </c>
      <c r="J64" s="4" t="n">
        <v>3.12</v>
      </c>
      <c r="K64" s="4" t="n">
        <v>0.62</v>
      </c>
      <c r="L64" s="4" t="n">
        <v>173848</v>
      </c>
      <c r="M64" s="4" t="n">
        <v>136</v>
      </c>
      <c r="N64" s="8" t="inlineStr">
        <is>
          <t>Mantenimiento Urgente</t>
        </is>
      </c>
    </row>
    <row r="65">
      <c r="A65" s="6" t="inlineStr">
        <is>
          <t>CAM-062</t>
        </is>
      </c>
      <c r="B65" s="6" t="inlineStr">
        <is>
          <t>Komatsu 960E</t>
        </is>
      </c>
      <c r="C65" s="6" t="n">
        <v>2014</v>
      </c>
      <c r="D65" s="6" t="n">
        <v>1991</v>
      </c>
      <c r="E65" s="6" t="n">
        <v>133.5</v>
      </c>
      <c r="F65" s="6" t="n">
        <v>4.71</v>
      </c>
      <c r="G65" s="6" t="n">
        <v>2654.9</v>
      </c>
      <c r="H65" s="6" t="n">
        <v>15.7</v>
      </c>
      <c r="I65" s="6" t="n">
        <v>360.5</v>
      </c>
      <c r="J65" s="6" t="n">
        <v>6.15</v>
      </c>
      <c r="K65" s="6" t="n">
        <v>1.87</v>
      </c>
      <c r="L65" s="6" t="n">
        <v>25036</v>
      </c>
      <c r="M65" s="6" t="n">
        <v>120</v>
      </c>
      <c r="N65" s="5" t="inlineStr">
        <is>
          <t>Mantenimiento Próximo</t>
        </is>
      </c>
    </row>
    <row r="66">
      <c r="A66" s="4" t="inlineStr">
        <is>
          <t>CAM-063</t>
        </is>
      </c>
      <c r="B66" s="4" t="inlineStr">
        <is>
          <t>Hitachi EH5000</t>
        </is>
      </c>
      <c r="C66" s="4" t="n">
        <v>2017</v>
      </c>
      <c r="D66" s="4" t="n">
        <v>11664</v>
      </c>
      <c r="E66" s="4" t="n">
        <v>86.09999999999999</v>
      </c>
      <c r="F66" s="4" t="n">
        <v>2.71</v>
      </c>
      <c r="G66" s="4" t="n">
        <v>3564.9</v>
      </c>
      <c r="H66" s="4" t="n">
        <v>31.5</v>
      </c>
      <c r="I66" s="4" t="n">
        <v>346.6</v>
      </c>
      <c r="J66" s="4" t="n">
        <v>5.11</v>
      </c>
      <c r="K66" s="4" t="n">
        <v>0.43</v>
      </c>
      <c r="L66" s="4" t="n">
        <v>301394</v>
      </c>
      <c r="M66" s="4" t="n">
        <v>13</v>
      </c>
      <c r="N66" s="5" t="inlineStr">
        <is>
          <t>Mantenimiento Próximo</t>
        </is>
      </c>
    </row>
    <row r="67">
      <c r="A67" s="6" t="inlineStr">
        <is>
          <t>CAM-064</t>
        </is>
      </c>
      <c r="B67" s="6" t="inlineStr">
        <is>
          <t>Komatsu 960E</t>
        </is>
      </c>
      <c r="C67" s="6" t="n">
        <v>2012</v>
      </c>
      <c r="D67" s="6" t="n">
        <v>18943</v>
      </c>
      <c r="E67" s="6" t="n">
        <v>131.9</v>
      </c>
      <c r="F67" s="6" t="n">
        <v>2.84</v>
      </c>
      <c r="G67" s="6" t="n">
        <v>977</v>
      </c>
      <c r="H67" s="6" t="n">
        <v>35.1</v>
      </c>
      <c r="I67" s="6" t="n">
        <v>224.9</v>
      </c>
      <c r="J67" s="6" t="n">
        <v>7.36</v>
      </c>
      <c r="K67" s="6" t="n">
        <v>1.41</v>
      </c>
      <c r="L67" s="6" t="n">
        <v>579455</v>
      </c>
      <c r="M67" s="6" t="n">
        <v>97</v>
      </c>
      <c r="N67" s="8" t="inlineStr">
        <is>
          <t>Mantenimiento Urgente</t>
        </is>
      </c>
    </row>
    <row r="68">
      <c r="A68" s="4" t="inlineStr">
        <is>
          <t>CAM-065</t>
        </is>
      </c>
      <c r="B68" s="4" t="inlineStr">
        <is>
          <t>Hitachi EH5000</t>
        </is>
      </c>
      <c r="C68" s="4" t="n">
        <v>2017</v>
      </c>
      <c r="D68" s="4" t="n">
        <v>10243</v>
      </c>
      <c r="E68" s="4" t="n">
        <v>126.6</v>
      </c>
      <c r="F68" s="4" t="n">
        <v>6.46</v>
      </c>
      <c r="G68" s="4" t="n">
        <v>1190.6</v>
      </c>
      <c r="H68" s="4" t="n">
        <v>37.9</v>
      </c>
      <c r="I68" s="4" t="n">
        <v>282.9</v>
      </c>
      <c r="J68" s="4" t="n">
        <v>9.01</v>
      </c>
      <c r="K68" s="4" t="n">
        <v>2.01</v>
      </c>
      <c r="L68" s="4" t="n">
        <v>261159</v>
      </c>
      <c r="M68" s="4" t="n">
        <v>54</v>
      </c>
      <c r="N68" s="8" t="inlineStr">
        <is>
          <t>Mantenimiento Urgente</t>
        </is>
      </c>
    </row>
    <row r="69">
      <c r="A69" s="6" t="inlineStr">
        <is>
          <t>CAM-066</t>
        </is>
      </c>
      <c r="B69" s="6" t="inlineStr">
        <is>
          <t>Liebherr T 282C</t>
        </is>
      </c>
      <c r="C69" s="6" t="n">
        <v>2020</v>
      </c>
      <c r="D69" s="6" t="n">
        <v>3160</v>
      </c>
      <c r="E69" s="6" t="n">
        <v>84.40000000000001</v>
      </c>
      <c r="F69" s="6" t="n">
        <v>3.2</v>
      </c>
      <c r="G69" s="6" t="n">
        <v>330.4</v>
      </c>
      <c r="H69" s="6" t="n">
        <v>10.1</v>
      </c>
      <c r="I69" s="6" t="n">
        <v>235.2</v>
      </c>
      <c r="J69" s="6" t="n">
        <v>7.33</v>
      </c>
      <c r="K69" s="6" t="n">
        <v>0.82</v>
      </c>
      <c r="L69" s="6" t="n">
        <v>21735</v>
      </c>
      <c r="M69" s="6" t="n">
        <v>180</v>
      </c>
      <c r="N69" s="5" t="inlineStr">
        <is>
          <t>Mantenimiento Próximo</t>
        </is>
      </c>
    </row>
    <row r="70">
      <c r="A70" s="4" t="inlineStr">
        <is>
          <t>CAM-067</t>
        </is>
      </c>
      <c r="B70" s="4" t="inlineStr">
        <is>
          <t>Liebherr T 282C</t>
        </is>
      </c>
      <c r="C70" s="4" t="n">
        <v>2021</v>
      </c>
      <c r="D70" s="4" t="n">
        <v>15377</v>
      </c>
      <c r="E70" s="4" t="n">
        <v>79.3</v>
      </c>
      <c r="F70" s="4" t="n">
        <v>3.43</v>
      </c>
      <c r="G70" s="4" t="n">
        <v>1038.1</v>
      </c>
      <c r="H70" s="4" t="n">
        <v>45.6</v>
      </c>
      <c r="I70" s="4" t="n">
        <v>276.9</v>
      </c>
      <c r="J70" s="4" t="n">
        <v>9.74</v>
      </c>
      <c r="K70" s="4" t="n">
        <v>0.66</v>
      </c>
      <c r="L70" s="4" t="n">
        <v>448883</v>
      </c>
      <c r="M70" s="4" t="n">
        <v>57</v>
      </c>
      <c r="N70" s="5" t="inlineStr">
        <is>
          <t>Mantenimiento Próximo</t>
        </is>
      </c>
    </row>
    <row r="71">
      <c r="A71" s="6" t="inlineStr">
        <is>
          <t>CAM-068</t>
        </is>
      </c>
      <c r="B71" s="6" t="inlineStr">
        <is>
          <t>BelAZ 75710</t>
        </is>
      </c>
      <c r="C71" s="6" t="n">
        <v>2012</v>
      </c>
      <c r="D71" s="6" t="n">
        <v>9204</v>
      </c>
      <c r="E71" s="6" t="n">
        <v>124.6</v>
      </c>
      <c r="F71" s="6" t="n">
        <v>2.79</v>
      </c>
      <c r="G71" s="6" t="n">
        <v>669.7</v>
      </c>
      <c r="H71" s="6" t="n">
        <v>23.8</v>
      </c>
      <c r="I71" s="6" t="n">
        <v>324.7</v>
      </c>
      <c r="J71" s="6" t="n">
        <v>7.05</v>
      </c>
      <c r="K71" s="6" t="n">
        <v>0.82</v>
      </c>
      <c r="L71" s="6" t="n">
        <v>140967</v>
      </c>
      <c r="M71" s="6" t="n">
        <v>176</v>
      </c>
      <c r="N71" s="8" t="inlineStr">
        <is>
          <t>Mantenimiento Urgente</t>
        </is>
      </c>
    </row>
    <row r="72">
      <c r="A72" s="4" t="inlineStr">
        <is>
          <t>CAM-069</t>
        </is>
      </c>
      <c r="B72" s="4" t="inlineStr">
        <is>
          <t>Liebherr T 282C</t>
        </is>
      </c>
      <c r="C72" s="4" t="n">
        <v>2021</v>
      </c>
      <c r="D72" s="4" t="n">
        <v>13689</v>
      </c>
      <c r="E72" s="4" t="n">
        <v>131.6</v>
      </c>
      <c r="F72" s="4" t="n">
        <v>4.5</v>
      </c>
      <c r="G72" s="4" t="n">
        <v>1894.3</v>
      </c>
      <c r="H72" s="4" t="n">
        <v>13.6</v>
      </c>
      <c r="I72" s="4" t="n">
        <v>112</v>
      </c>
      <c r="J72" s="4" t="n">
        <v>5.47</v>
      </c>
      <c r="K72" s="4" t="n">
        <v>0.88</v>
      </c>
      <c r="L72" s="4" t="n">
        <v>128016</v>
      </c>
      <c r="M72" s="4" t="n">
        <v>23</v>
      </c>
      <c r="N72" s="5" t="inlineStr">
        <is>
          <t>Mantenimiento Próximo</t>
        </is>
      </c>
    </row>
    <row r="73">
      <c r="A73" s="6" t="inlineStr">
        <is>
          <t>CAM-070</t>
        </is>
      </c>
      <c r="B73" s="6" t="inlineStr">
        <is>
          <t>Komatsu 960E</t>
        </is>
      </c>
      <c r="C73" s="6" t="n">
        <v>2020</v>
      </c>
      <c r="D73" s="6" t="n">
        <v>19348</v>
      </c>
      <c r="E73" s="6" t="n">
        <v>110.2</v>
      </c>
      <c r="F73" s="6" t="n">
        <v>2.58</v>
      </c>
      <c r="G73" s="6" t="n">
        <v>2906.4</v>
      </c>
      <c r="H73" s="6" t="n">
        <v>47</v>
      </c>
      <c r="I73" s="6" t="n">
        <v>272.9</v>
      </c>
      <c r="J73" s="6" t="n">
        <v>9.279999999999999</v>
      </c>
      <c r="K73" s="6" t="n">
        <v>0.62</v>
      </c>
      <c r="L73" s="6" t="n">
        <v>710787</v>
      </c>
      <c r="M73" s="6" t="n">
        <v>113</v>
      </c>
      <c r="N73" s="8" t="inlineStr">
        <is>
          <t>Mantenimiento Urgente</t>
        </is>
      </c>
    </row>
    <row r="74">
      <c r="A74" s="4" t="inlineStr">
        <is>
          <t>CAM-071</t>
        </is>
      </c>
      <c r="B74" s="4" t="inlineStr">
        <is>
          <t>Liebherr T 282C</t>
        </is>
      </c>
      <c r="C74" s="4" t="n">
        <v>2012</v>
      </c>
      <c r="D74" s="4" t="n">
        <v>19680</v>
      </c>
      <c r="E74" s="4" t="n">
        <v>101.2</v>
      </c>
      <c r="F74" s="4" t="n">
        <v>5.76</v>
      </c>
      <c r="G74" s="4" t="n">
        <v>3669.4</v>
      </c>
      <c r="H74" s="4" t="n">
        <v>31.2</v>
      </c>
      <c r="I74" s="4" t="n">
        <v>222.5</v>
      </c>
      <c r="J74" s="4" t="n">
        <v>4.19</v>
      </c>
      <c r="K74" s="4" t="n">
        <v>0.49</v>
      </c>
      <c r="L74" s="4" t="n">
        <v>402972</v>
      </c>
      <c r="M74" s="4" t="n">
        <v>105</v>
      </c>
      <c r="N74" s="5" t="inlineStr">
        <is>
          <t>Mantenimiento Próximo</t>
        </is>
      </c>
    </row>
    <row r="75">
      <c r="A75" s="6" t="inlineStr">
        <is>
          <t>CAM-072</t>
        </is>
      </c>
      <c r="B75" s="6" t="inlineStr">
        <is>
          <t>BelAZ 75710</t>
        </is>
      </c>
      <c r="C75" s="6" t="n">
        <v>2017</v>
      </c>
      <c r="D75" s="6" t="n">
        <v>9944</v>
      </c>
      <c r="E75" s="6" t="n">
        <v>114.8</v>
      </c>
      <c r="F75" s="6" t="n">
        <v>4.1</v>
      </c>
      <c r="G75" s="6" t="n">
        <v>2890.5</v>
      </c>
      <c r="H75" s="6" t="n">
        <v>11.7</v>
      </c>
      <c r="I75" s="6" t="n">
        <v>126.4</v>
      </c>
      <c r="J75" s="6" t="n">
        <v>3.4</v>
      </c>
      <c r="K75" s="6" t="n">
        <v>0.51</v>
      </c>
      <c r="L75" s="6" t="n">
        <v>101266</v>
      </c>
      <c r="M75" s="6" t="n">
        <v>131</v>
      </c>
      <c r="N75" s="5" t="inlineStr">
        <is>
          <t>Mantenimiento Próximo</t>
        </is>
      </c>
    </row>
    <row r="76">
      <c r="A76" s="4" t="inlineStr">
        <is>
          <t>CAM-073</t>
        </is>
      </c>
      <c r="B76" s="4" t="inlineStr">
        <is>
          <t>Caterpillar 797F</t>
        </is>
      </c>
      <c r="C76" s="4" t="n">
        <v>2020</v>
      </c>
      <c r="D76" s="4" t="n">
        <v>18279</v>
      </c>
      <c r="E76" s="4" t="n">
        <v>102.7</v>
      </c>
      <c r="F76" s="4" t="n">
        <v>2.72</v>
      </c>
      <c r="G76" s="4" t="n">
        <v>1986.4</v>
      </c>
      <c r="H76" s="4" t="n">
        <v>38</v>
      </c>
      <c r="I76" s="4" t="n">
        <v>249.5</v>
      </c>
      <c r="J76" s="4" t="n">
        <v>5.58</v>
      </c>
      <c r="K76" s="4" t="n">
        <v>0.39</v>
      </c>
      <c r="L76" s="4" t="n">
        <v>481685</v>
      </c>
      <c r="M76" s="4" t="n">
        <v>33</v>
      </c>
      <c r="N76" s="5" t="inlineStr">
        <is>
          <t>Mantenimiento Próximo</t>
        </is>
      </c>
    </row>
    <row r="77">
      <c r="A77" s="6" t="inlineStr">
        <is>
          <t>CAM-074</t>
        </is>
      </c>
      <c r="B77" s="6" t="inlineStr">
        <is>
          <t>Liebherr T 282C</t>
        </is>
      </c>
      <c r="C77" s="6" t="n">
        <v>2017</v>
      </c>
      <c r="D77" s="6" t="n">
        <v>23380</v>
      </c>
      <c r="E77" s="6" t="n">
        <v>104.1</v>
      </c>
      <c r="F77" s="6" t="n">
        <v>2.62</v>
      </c>
      <c r="G77" s="6" t="n">
        <v>2403.1</v>
      </c>
      <c r="H77" s="6" t="n">
        <v>46</v>
      </c>
      <c r="I77" s="6" t="n">
        <v>312.9</v>
      </c>
      <c r="J77" s="6" t="n">
        <v>4.07</v>
      </c>
      <c r="K77" s="6" t="n">
        <v>0.32</v>
      </c>
      <c r="L77" s="6" t="n">
        <v>798863</v>
      </c>
      <c r="M77" s="6" t="n">
        <v>57</v>
      </c>
      <c r="N77" s="5" t="inlineStr">
        <is>
          <t>Mantenimiento Próximo</t>
        </is>
      </c>
    </row>
    <row r="78">
      <c r="A78" s="4" t="inlineStr">
        <is>
          <t>CAM-075</t>
        </is>
      </c>
      <c r="B78" s="4" t="inlineStr">
        <is>
          <t>Caterpillar 797F</t>
        </is>
      </c>
      <c r="C78" s="4" t="n">
        <v>2017</v>
      </c>
      <c r="D78" s="4" t="n">
        <v>4349</v>
      </c>
      <c r="E78" s="4" t="n">
        <v>113.9</v>
      </c>
      <c r="F78" s="4" t="n">
        <v>3.12</v>
      </c>
      <c r="G78" s="4" t="n">
        <v>3533.5</v>
      </c>
      <c r="H78" s="4" t="n">
        <v>23.1</v>
      </c>
      <c r="I78" s="4" t="n">
        <v>311.6</v>
      </c>
      <c r="J78" s="4" t="n">
        <v>5.28</v>
      </c>
      <c r="K78" s="4" t="n">
        <v>1.17</v>
      </c>
      <c r="L78" s="4" t="n">
        <v>76881</v>
      </c>
      <c r="M78" s="4" t="n">
        <v>116</v>
      </c>
      <c r="N78" s="5" t="inlineStr">
        <is>
          <t>Mantenimiento Próximo</t>
        </is>
      </c>
    </row>
    <row r="79">
      <c r="A79" s="6" t="inlineStr">
        <is>
          <t>CAM-076</t>
        </is>
      </c>
      <c r="B79" s="6" t="inlineStr">
        <is>
          <t>Terex MT6300</t>
        </is>
      </c>
      <c r="C79" s="6" t="n">
        <v>2012</v>
      </c>
      <c r="D79" s="6" t="n">
        <v>13069</v>
      </c>
      <c r="E79" s="6" t="n">
        <v>86.40000000000001</v>
      </c>
      <c r="F79" s="6" t="n">
        <v>4.9</v>
      </c>
      <c r="G79" s="6" t="n">
        <v>2837.4</v>
      </c>
      <c r="H79" s="6" t="n">
        <v>16.1</v>
      </c>
      <c r="I79" s="6" t="n">
        <v>120.9</v>
      </c>
      <c r="J79" s="6" t="n">
        <v>9.390000000000001</v>
      </c>
      <c r="K79" s="6" t="n">
        <v>1.84</v>
      </c>
      <c r="L79" s="6" t="n">
        <v>151276</v>
      </c>
      <c r="M79" s="6" t="n">
        <v>129</v>
      </c>
      <c r="N79" s="8" t="inlineStr">
        <is>
          <t>Mantenimiento Urgente</t>
        </is>
      </c>
    </row>
    <row r="80">
      <c r="A80" s="4" t="inlineStr">
        <is>
          <t>CAM-077</t>
        </is>
      </c>
      <c r="B80" s="4" t="inlineStr">
        <is>
          <t>Liebherr T 282C</t>
        </is>
      </c>
      <c r="C80" s="4" t="n">
        <v>2023</v>
      </c>
      <c r="D80" s="4" t="n">
        <v>584</v>
      </c>
      <c r="E80" s="4" t="n">
        <v>92</v>
      </c>
      <c r="F80" s="4" t="n">
        <v>3.69</v>
      </c>
      <c r="G80" s="4" t="n">
        <v>2242.2</v>
      </c>
      <c r="H80" s="4" t="n">
        <v>55</v>
      </c>
      <c r="I80" s="4" t="n">
        <v>246.9</v>
      </c>
      <c r="J80" s="4" t="n">
        <v>2.21</v>
      </c>
      <c r="K80" s="4" t="n">
        <v>1.27</v>
      </c>
      <c r="L80" s="4" t="n">
        <v>23152</v>
      </c>
      <c r="M80" s="4" t="n">
        <v>141</v>
      </c>
      <c r="N80" s="5" t="inlineStr">
        <is>
          <t>Mantenimiento Próximo</t>
        </is>
      </c>
    </row>
    <row r="81">
      <c r="A81" s="6" t="inlineStr">
        <is>
          <t>CAM-078</t>
        </is>
      </c>
      <c r="B81" s="6" t="inlineStr">
        <is>
          <t>Terex MT6300</t>
        </is>
      </c>
      <c r="C81" s="6" t="n">
        <v>2016</v>
      </c>
      <c r="D81" s="6" t="n">
        <v>15420</v>
      </c>
      <c r="E81" s="6" t="n">
        <v>131</v>
      </c>
      <c r="F81" s="6" t="n">
        <v>5.98</v>
      </c>
      <c r="G81" s="6" t="n">
        <v>3713.2</v>
      </c>
      <c r="H81" s="6" t="n">
        <v>20.7</v>
      </c>
      <c r="I81" s="6" t="n">
        <v>214.9</v>
      </c>
      <c r="J81" s="6" t="n">
        <v>10.34</v>
      </c>
      <c r="K81" s="6" t="n">
        <v>1.04</v>
      </c>
      <c r="L81" s="6" t="n">
        <v>227062</v>
      </c>
      <c r="M81" s="6" t="n">
        <v>121</v>
      </c>
      <c r="N81" s="8" t="inlineStr">
        <is>
          <t>Mantenimiento Urgente</t>
        </is>
      </c>
    </row>
    <row r="82">
      <c r="A82" s="4" t="inlineStr">
        <is>
          <t>CAM-079</t>
        </is>
      </c>
      <c r="B82" s="4" t="inlineStr">
        <is>
          <t>BelAZ 75710</t>
        </is>
      </c>
      <c r="C82" s="4" t="n">
        <v>2022</v>
      </c>
      <c r="D82" s="4" t="n">
        <v>12992</v>
      </c>
      <c r="E82" s="4" t="n">
        <v>98.2</v>
      </c>
      <c r="F82" s="4" t="n">
        <v>5.15</v>
      </c>
      <c r="G82" s="4" t="n">
        <v>3115.5</v>
      </c>
      <c r="H82" s="4" t="n">
        <v>54.1</v>
      </c>
      <c r="I82" s="4" t="n">
        <v>248.6</v>
      </c>
      <c r="J82" s="4" t="n">
        <v>0.93</v>
      </c>
      <c r="K82" s="4" t="n">
        <v>1.2</v>
      </c>
      <c r="L82" s="4" t="n">
        <v>566907</v>
      </c>
      <c r="M82" s="4" t="n">
        <v>25</v>
      </c>
      <c r="N82" s="7" t="inlineStr">
        <is>
          <t>Operativo Normal</t>
        </is>
      </c>
    </row>
    <row r="83">
      <c r="A83" s="6" t="inlineStr">
        <is>
          <t>CAM-080</t>
        </is>
      </c>
      <c r="B83" s="6" t="inlineStr">
        <is>
          <t>Hitachi EH5000</t>
        </is>
      </c>
      <c r="C83" s="6" t="n">
        <v>2011</v>
      </c>
      <c r="D83" s="6" t="n">
        <v>17734</v>
      </c>
      <c r="E83" s="6" t="n">
        <v>129.6</v>
      </c>
      <c r="F83" s="6" t="n">
        <v>2.56</v>
      </c>
      <c r="G83" s="6" t="n">
        <v>588.4</v>
      </c>
      <c r="H83" s="6" t="n">
        <v>49.2</v>
      </c>
      <c r="I83" s="6" t="n">
        <v>391</v>
      </c>
      <c r="J83" s="6" t="n">
        <v>1.36</v>
      </c>
      <c r="K83" s="6" t="n">
        <v>1.71</v>
      </c>
      <c r="L83" s="6" t="n">
        <v>604440</v>
      </c>
      <c r="M83" s="6" t="n">
        <v>159</v>
      </c>
      <c r="N83" s="8" t="inlineStr">
        <is>
          <t>Mantenimiento Urgente</t>
        </is>
      </c>
    </row>
    <row r="84">
      <c r="A84" s="4" t="inlineStr">
        <is>
          <t>CAM-081</t>
        </is>
      </c>
      <c r="B84" s="4" t="inlineStr">
        <is>
          <t>BelAZ 75710</t>
        </is>
      </c>
      <c r="C84" s="4" t="n">
        <v>2016</v>
      </c>
      <c r="D84" s="4" t="n">
        <v>21793</v>
      </c>
      <c r="E84" s="4" t="n">
        <v>79.8</v>
      </c>
      <c r="F84" s="4" t="n">
        <v>3.81</v>
      </c>
      <c r="G84" s="4" t="n">
        <v>2568.7</v>
      </c>
      <c r="H84" s="4" t="n">
        <v>34</v>
      </c>
      <c r="I84" s="4" t="n">
        <v>386.2</v>
      </c>
      <c r="J84" s="4" t="n">
        <v>7.71</v>
      </c>
      <c r="K84" s="4" t="n">
        <v>1.9</v>
      </c>
      <c r="L84" s="4" t="n">
        <v>571120</v>
      </c>
      <c r="M84" s="4" t="n">
        <v>138</v>
      </c>
      <c r="N84" s="5" t="inlineStr">
        <is>
          <t>Mantenimiento Próximo</t>
        </is>
      </c>
    </row>
    <row r="85">
      <c r="A85" s="6" t="inlineStr">
        <is>
          <t>CAM-082</t>
        </is>
      </c>
      <c r="B85" s="6" t="inlineStr">
        <is>
          <t>Caterpillar 797F</t>
        </is>
      </c>
      <c r="C85" s="6" t="n">
        <v>2019</v>
      </c>
      <c r="D85" s="6" t="n">
        <v>2742</v>
      </c>
      <c r="E85" s="6" t="n">
        <v>89.09999999999999</v>
      </c>
      <c r="F85" s="6" t="n">
        <v>5.24</v>
      </c>
      <c r="G85" s="6" t="n">
        <v>1123.4</v>
      </c>
      <c r="H85" s="6" t="n">
        <v>20.2</v>
      </c>
      <c r="I85" s="6" t="n">
        <v>127.1</v>
      </c>
      <c r="J85" s="6" t="n">
        <v>11.75</v>
      </c>
      <c r="K85" s="6" t="n">
        <v>1.67</v>
      </c>
      <c r="L85" s="6" t="n">
        <v>46879</v>
      </c>
      <c r="M85" s="6" t="n">
        <v>25</v>
      </c>
      <c r="N85" s="5" t="inlineStr">
        <is>
          <t>Mantenimiento Próximo</t>
        </is>
      </c>
    </row>
    <row r="86">
      <c r="A86" s="4" t="inlineStr">
        <is>
          <t>CAM-083</t>
        </is>
      </c>
      <c r="B86" s="4" t="inlineStr">
        <is>
          <t>Hitachi EH5000</t>
        </is>
      </c>
      <c r="C86" s="4" t="n">
        <v>2012</v>
      </c>
      <c r="D86" s="4" t="n">
        <v>23241</v>
      </c>
      <c r="E86" s="4" t="n">
        <v>93</v>
      </c>
      <c r="F86" s="4" t="n">
        <v>2.62</v>
      </c>
      <c r="G86" s="4" t="n">
        <v>1261.5</v>
      </c>
      <c r="H86" s="4" t="n">
        <v>12.5</v>
      </c>
      <c r="I86" s="4" t="n">
        <v>207.5</v>
      </c>
      <c r="J86" s="4" t="n">
        <v>5.45</v>
      </c>
      <c r="K86" s="4" t="n">
        <v>0.74</v>
      </c>
      <c r="L86" s="4" t="n">
        <v>216205</v>
      </c>
      <c r="M86" s="4" t="n">
        <v>174</v>
      </c>
      <c r="N86" s="8" t="inlineStr">
        <is>
          <t>Mantenimiento Urgente</t>
        </is>
      </c>
    </row>
    <row r="87">
      <c r="A87" s="6" t="inlineStr">
        <is>
          <t>CAM-084</t>
        </is>
      </c>
      <c r="B87" s="6" t="inlineStr">
        <is>
          <t>Komatsu 960E</t>
        </is>
      </c>
      <c r="C87" s="6" t="n">
        <v>2012</v>
      </c>
      <c r="D87" s="6" t="n">
        <v>6236</v>
      </c>
      <c r="E87" s="6" t="n">
        <v>79.7</v>
      </c>
      <c r="F87" s="6" t="n">
        <v>5.98</v>
      </c>
      <c r="G87" s="6" t="n">
        <v>2364.6</v>
      </c>
      <c r="H87" s="6" t="n">
        <v>20.8</v>
      </c>
      <c r="I87" s="6" t="n">
        <v>373.8</v>
      </c>
      <c r="J87" s="6" t="n">
        <v>2.15</v>
      </c>
      <c r="K87" s="6" t="n">
        <v>1.13</v>
      </c>
      <c r="L87" s="6" t="n">
        <v>89355</v>
      </c>
      <c r="M87" s="6" t="n">
        <v>65</v>
      </c>
      <c r="N87" s="7" t="inlineStr">
        <is>
          <t>Operativo Normal</t>
        </is>
      </c>
    </row>
    <row r="88">
      <c r="A88" s="4" t="inlineStr">
        <is>
          <t>CAM-085</t>
        </is>
      </c>
      <c r="B88" s="4" t="inlineStr">
        <is>
          <t>BelAZ 75710</t>
        </is>
      </c>
      <c r="C88" s="4" t="n">
        <v>2010</v>
      </c>
      <c r="D88" s="4" t="n">
        <v>15745</v>
      </c>
      <c r="E88" s="4" t="n">
        <v>129.1</v>
      </c>
      <c r="F88" s="4" t="n">
        <v>5.21</v>
      </c>
      <c r="G88" s="4" t="n">
        <v>640</v>
      </c>
      <c r="H88" s="4" t="n">
        <v>29.9</v>
      </c>
      <c r="I88" s="4" t="n">
        <v>203.7</v>
      </c>
      <c r="J88" s="4" t="n">
        <v>7.26</v>
      </c>
      <c r="K88" s="4" t="n">
        <v>1.45</v>
      </c>
      <c r="L88" s="4" t="n">
        <v>352379</v>
      </c>
      <c r="M88" s="4" t="n">
        <v>64</v>
      </c>
      <c r="N88" s="5" t="inlineStr">
        <is>
          <t>Mantenimiento Próximo</t>
        </is>
      </c>
    </row>
    <row r="89">
      <c r="A89" s="6" t="inlineStr">
        <is>
          <t>CAM-086</t>
        </is>
      </c>
      <c r="B89" s="6" t="inlineStr">
        <is>
          <t>Hitachi EH5000</t>
        </is>
      </c>
      <c r="C89" s="6" t="n">
        <v>2023</v>
      </c>
      <c r="D89" s="6" t="n">
        <v>10399</v>
      </c>
      <c r="E89" s="6" t="n">
        <v>87</v>
      </c>
      <c r="F89" s="6" t="n">
        <v>4.04</v>
      </c>
      <c r="G89" s="6" t="n">
        <v>1854.8</v>
      </c>
      <c r="H89" s="6" t="n">
        <v>20.7</v>
      </c>
      <c r="I89" s="6" t="n">
        <v>271.6</v>
      </c>
      <c r="J89" s="6" t="n">
        <v>7.11</v>
      </c>
      <c r="K89" s="6" t="n">
        <v>2.09</v>
      </c>
      <c r="L89" s="6" t="n">
        <v>151398</v>
      </c>
      <c r="M89" s="6" t="n">
        <v>168</v>
      </c>
      <c r="N89" s="5" t="inlineStr">
        <is>
          <t>Mantenimiento Próximo</t>
        </is>
      </c>
    </row>
    <row r="90">
      <c r="A90" s="4" t="inlineStr">
        <is>
          <t>CAM-087</t>
        </is>
      </c>
      <c r="B90" s="4" t="inlineStr">
        <is>
          <t>Hitachi EH5000</t>
        </is>
      </c>
      <c r="C90" s="4" t="n">
        <v>2014</v>
      </c>
      <c r="D90" s="4" t="n">
        <v>765</v>
      </c>
      <c r="E90" s="4" t="n">
        <v>109</v>
      </c>
      <c r="F90" s="4" t="n">
        <v>5.24</v>
      </c>
      <c r="G90" s="4" t="n">
        <v>2831.3</v>
      </c>
      <c r="H90" s="4" t="n">
        <v>12.2</v>
      </c>
      <c r="I90" s="4" t="n">
        <v>281.9</v>
      </c>
      <c r="J90" s="4" t="n">
        <v>6.21</v>
      </c>
      <c r="K90" s="4" t="n">
        <v>1.93</v>
      </c>
      <c r="L90" s="4" t="n">
        <v>6535</v>
      </c>
      <c r="M90" s="4" t="n">
        <v>58</v>
      </c>
      <c r="N90" s="7" t="inlineStr">
        <is>
          <t>Operativo Normal</t>
        </is>
      </c>
    </row>
    <row r="91">
      <c r="A91" s="6" t="inlineStr">
        <is>
          <t>CAM-088</t>
        </is>
      </c>
      <c r="B91" s="6" t="inlineStr">
        <is>
          <t>Terex MT6300</t>
        </is>
      </c>
      <c r="C91" s="6" t="n">
        <v>2022</v>
      </c>
      <c r="D91" s="6" t="n">
        <v>12044</v>
      </c>
      <c r="E91" s="6" t="n">
        <v>88.09999999999999</v>
      </c>
      <c r="F91" s="6" t="n">
        <v>3.26</v>
      </c>
      <c r="G91" s="6" t="n">
        <v>986.1</v>
      </c>
      <c r="H91" s="6" t="n">
        <v>44</v>
      </c>
      <c r="I91" s="6" t="n">
        <v>330.2</v>
      </c>
      <c r="J91" s="6" t="n">
        <v>8.33</v>
      </c>
      <c r="K91" s="6" t="n">
        <v>0.55</v>
      </c>
      <c r="L91" s="6" t="n">
        <v>335983</v>
      </c>
      <c r="M91" s="6" t="n">
        <v>160</v>
      </c>
      <c r="N91" s="5" t="inlineStr">
        <is>
          <t>Mantenimiento Próximo</t>
        </is>
      </c>
    </row>
    <row r="92">
      <c r="A92" s="4" t="inlineStr">
        <is>
          <t>CAM-089</t>
        </is>
      </c>
      <c r="B92" s="4" t="inlineStr">
        <is>
          <t>BelAZ 75710</t>
        </is>
      </c>
      <c r="C92" s="4" t="n">
        <v>2010</v>
      </c>
      <c r="D92" s="4" t="n">
        <v>10623</v>
      </c>
      <c r="E92" s="4" t="n">
        <v>122.3</v>
      </c>
      <c r="F92" s="4" t="n">
        <v>2.63</v>
      </c>
      <c r="G92" s="4" t="n">
        <v>1412.8</v>
      </c>
      <c r="H92" s="4" t="n">
        <v>15.9</v>
      </c>
      <c r="I92" s="4" t="n">
        <v>372.9</v>
      </c>
      <c r="J92" s="4" t="n">
        <v>4.26</v>
      </c>
      <c r="K92" s="4" t="n">
        <v>1.05</v>
      </c>
      <c r="L92" s="4" t="n">
        <v>113214</v>
      </c>
      <c r="M92" s="4" t="n">
        <v>138</v>
      </c>
      <c r="N92" s="8" t="inlineStr">
        <is>
          <t>Mantenimiento Urgente</t>
        </is>
      </c>
    </row>
    <row r="93">
      <c r="A93" s="6" t="inlineStr">
        <is>
          <t>CAM-090</t>
        </is>
      </c>
      <c r="B93" s="6" t="inlineStr">
        <is>
          <t>Liebherr T 282C</t>
        </is>
      </c>
      <c r="C93" s="6" t="n">
        <v>2018</v>
      </c>
      <c r="D93" s="6" t="n">
        <v>16942</v>
      </c>
      <c r="E93" s="6" t="n">
        <v>129.8</v>
      </c>
      <c r="F93" s="6" t="n">
        <v>5.82</v>
      </c>
      <c r="G93" s="6" t="n">
        <v>1009.8</v>
      </c>
      <c r="H93" s="6" t="n">
        <v>47.1</v>
      </c>
      <c r="I93" s="6" t="n">
        <v>244.6</v>
      </c>
      <c r="J93" s="6" t="n">
        <v>9.77</v>
      </c>
      <c r="K93" s="6" t="n">
        <v>1.64</v>
      </c>
      <c r="L93" s="6" t="n">
        <v>573380</v>
      </c>
      <c r="M93" s="6" t="n">
        <v>29</v>
      </c>
      <c r="N93" s="8" t="inlineStr">
        <is>
          <t>Mantenimiento Urgente</t>
        </is>
      </c>
    </row>
    <row r="94">
      <c r="A94" s="4" t="inlineStr">
        <is>
          <t>CAM-091</t>
        </is>
      </c>
      <c r="B94" s="4" t="inlineStr">
        <is>
          <t>Hitachi EH5000</t>
        </is>
      </c>
      <c r="C94" s="4" t="n">
        <v>2011</v>
      </c>
      <c r="D94" s="4" t="n">
        <v>5112</v>
      </c>
      <c r="E94" s="4" t="n">
        <v>120.2</v>
      </c>
      <c r="F94" s="4" t="n">
        <v>3.4</v>
      </c>
      <c r="G94" s="4" t="n">
        <v>2576.1</v>
      </c>
      <c r="H94" s="4" t="n">
        <v>40.3</v>
      </c>
      <c r="I94" s="4" t="n">
        <v>219.2</v>
      </c>
      <c r="J94" s="4" t="n">
        <v>10.23</v>
      </c>
      <c r="K94" s="4" t="n">
        <v>1.3</v>
      </c>
      <c r="L94" s="4" t="n">
        <v>130119</v>
      </c>
      <c r="M94" s="4" t="n">
        <v>101</v>
      </c>
      <c r="N94" s="8" t="inlineStr">
        <is>
          <t>Mantenimiento Urgente</t>
        </is>
      </c>
    </row>
    <row r="95">
      <c r="A95" s="6" t="inlineStr">
        <is>
          <t>CAM-092</t>
        </is>
      </c>
      <c r="B95" s="6" t="inlineStr">
        <is>
          <t>Caterpillar 797F</t>
        </is>
      </c>
      <c r="C95" s="6" t="n">
        <v>2014</v>
      </c>
      <c r="D95" s="6" t="n">
        <v>18082</v>
      </c>
      <c r="E95" s="6" t="n">
        <v>82.40000000000001</v>
      </c>
      <c r="F95" s="6" t="n">
        <v>3.97</v>
      </c>
      <c r="G95" s="6" t="n">
        <v>2847.6</v>
      </c>
      <c r="H95" s="6" t="n">
        <v>21.8</v>
      </c>
      <c r="I95" s="6" t="n">
        <v>214.3</v>
      </c>
      <c r="J95" s="6" t="n">
        <v>7.84</v>
      </c>
      <c r="K95" s="6" t="n">
        <v>0.97</v>
      </c>
      <c r="L95" s="6" t="n">
        <v>329617</v>
      </c>
      <c r="M95" s="6" t="n">
        <v>120</v>
      </c>
      <c r="N95" s="5" t="inlineStr">
        <is>
          <t>Mantenimiento Próximo</t>
        </is>
      </c>
    </row>
    <row r="96">
      <c r="A96" s="4" t="inlineStr">
        <is>
          <t>CAM-093</t>
        </is>
      </c>
      <c r="B96" s="4" t="inlineStr">
        <is>
          <t>Caterpillar 797F</t>
        </is>
      </c>
      <c r="C96" s="4" t="n">
        <v>2019</v>
      </c>
      <c r="D96" s="4" t="n">
        <v>18896</v>
      </c>
      <c r="E96" s="4" t="n">
        <v>94.7</v>
      </c>
      <c r="F96" s="4" t="n">
        <v>4.94</v>
      </c>
      <c r="G96" s="4" t="n">
        <v>2469</v>
      </c>
      <c r="H96" s="4" t="n">
        <v>38.6</v>
      </c>
      <c r="I96" s="4" t="n">
        <v>239.3</v>
      </c>
      <c r="J96" s="4" t="n">
        <v>8.56</v>
      </c>
      <c r="K96" s="4" t="n">
        <v>1.47</v>
      </c>
      <c r="L96" s="4" t="n">
        <v>467417</v>
      </c>
      <c r="M96" s="4" t="n">
        <v>11</v>
      </c>
      <c r="N96" s="5" t="inlineStr">
        <is>
          <t>Mantenimiento Próximo</t>
        </is>
      </c>
    </row>
    <row r="97">
      <c r="A97" s="6" t="inlineStr">
        <is>
          <t>CAM-094</t>
        </is>
      </c>
      <c r="B97" s="6" t="inlineStr">
        <is>
          <t>Caterpillar 797F</t>
        </is>
      </c>
      <c r="C97" s="6" t="n">
        <v>2014</v>
      </c>
      <c r="D97" s="6" t="n">
        <v>16642</v>
      </c>
      <c r="E97" s="6" t="n">
        <v>82</v>
      </c>
      <c r="F97" s="6" t="n">
        <v>3.44</v>
      </c>
      <c r="G97" s="6" t="n">
        <v>2057.7</v>
      </c>
      <c r="H97" s="6" t="n">
        <v>27.5</v>
      </c>
      <c r="I97" s="6" t="n">
        <v>211.3</v>
      </c>
      <c r="J97" s="6" t="n">
        <v>11.42</v>
      </c>
      <c r="K97" s="6" t="n">
        <v>1.55</v>
      </c>
      <c r="L97" s="6" t="n">
        <v>361121</v>
      </c>
      <c r="M97" s="6" t="n">
        <v>150</v>
      </c>
      <c r="N97" s="8" t="inlineStr">
        <is>
          <t>Mantenimiento Urgente</t>
        </is>
      </c>
    </row>
    <row r="98">
      <c r="A98" s="4" t="inlineStr">
        <is>
          <t>CAM-095</t>
        </is>
      </c>
      <c r="B98" s="4" t="inlineStr">
        <is>
          <t>BelAZ 75710</t>
        </is>
      </c>
      <c r="C98" s="4" t="n">
        <v>2021</v>
      </c>
      <c r="D98" s="4" t="n">
        <v>5563</v>
      </c>
      <c r="E98" s="4" t="n">
        <v>128.1</v>
      </c>
      <c r="F98" s="4" t="n">
        <v>5.12</v>
      </c>
      <c r="G98" s="4" t="n">
        <v>3163.8</v>
      </c>
      <c r="H98" s="4" t="n">
        <v>37.7</v>
      </c>
      <c r="I98" s="4" t="n">
        <v>381.7</v>
      </c>
      <c r="J98" s="4" t="n">
        <v>3.72</v>
      </c>
      <c r="K98" s="4" t="n">
        <v>1.54</v>
      </c>
      <c r="L98" s="4" t="n">
        <v>141783</v>
      </c>
      <c r="M98" s="4" t="n">
        <v>113</v>
      </c>
      <c r="N98" s="5" t="inlineStr">
        <is>
          <t>Mantenimiento Próximo</t>
        </is>
      </c>
    </row>
    <row r="99">
      <c r="A99" s="6" t="inlineStr">
        <is>
          <t>CAM-096</t>
        </is>
      </c>
      <c r="B99" s="6" t="inlineStr">
        <is>
          <t>Komatsu 960E</t>
        </is>
      </c>
      <c r="C99" s="6" t="n">
        <v>2023</v>
      </c>
      <c r="D99" s="6" t="n">
        <v>12384</v>
      </c>
      <c r="E99" s="6" t="n">
        <v>81</v>
      </c>
      <c r="F99" s="6" t="n">
        <v>5.24</v>
      </c>
      <c r="G99" s="6" t="n">
        <v>2083.6</v>
      </c>
      <c r="H99" s="6" t="n">
        <v>54</v>
      </c>
      <c r="I99" s="6" t="n">
        <v>207.6</v>
      </c>
      <c r="J99" s="6" t="n">
        <v>5.08</v>
      </c>
      <c r="K99" s="6" t="n">
        <v>0.64</v>
      </c>
      <c r="L99" s="6" t="n">
        <v>429834</v>
      </c>
      <c r="M99" s="6" t="n">
        <v>116</v>
      </c>
      <c r="N99" s="7" t="inlineStr">
        <is>
          <t>Operativo Normal</t>
        </is>
      </c>
    </row>
    <row r="100">
      <c r="A100" s="4" t="inlineStr">
        <is>
          <t>CAM-097</t>
        </is>
      </c>
      <c r="B100" s="4" t="inlineStr">
        <is>
          <t>Caterpillar 797F</t>
        </is>
      </c>
      <c r="C100" s="4" t="n">
        <v>2020</v>
      </c>
      <c r="D100" s="4" t="n">
        <v>7450</v>
      </c>
      <c r="E100" s="4" t="n">
        <v>113.5</v>
      </c>
      <c r="F100" s="4" t="n">
        <v>4.89</v>
      </c>
      <c r="G100" s="4" t="n">
        <v>129.8</v>
      </c>
      <c r="H100" s="4" t="n">
        <v>45.4</v>
      </c>
      <c r="I100" s="4" t="n">
        <v>173.1</v>
      </c>
      <c r="J100" s="4" t="n">
        <v>1.95</v>
      </c>
      <c r="K100" s="4" t="n">
        <v>1.32</v>
      </c>
      <c r="L100" s="4" t="n">
        <v>211060</v>
      </c>
      <c r="M100" s="4" t="n">
        <v>141</v>
      </c>
      <c r="N100" s="5" t="inlineStr">
        <is>
          <t>Mantenimiento Próximo</t>
        </is>
      </c>
    </row>
    <row r="101">
      <c r="A101" s="6" t="inlineStr">
        <is>
          <t>CAM-098</t>
        </is>
      </c>
      <c r="B101" s="6" t="inlineStr">
        <is>
          <t>Komatsu 960E</t>
        </is>
      </c>
      <c r="C101" s="6" t="n">
        <v>2019</v>
      </c>
      <c r="D101" s="6" t="n">
        <v>7576</v>
      </c>
      <c r="E101" s="6" t="n">
        <v>123.8</v>
      </c>
      <c r="F101" s="6" t="n">
        <v>3.43</v>
      </c>
      <c r="G101" s="6" t="n">
        <v>2942.3</v>
      </c>
      <c r="H101" s="6" t="n">
        <v>45.5</v>
      </c>
      <c r="I101" s="6" t="n">
        <v>278.8</v>
      </c>
      <c r="J101" s="6" t="n">
        <v>3.69</v>
      </c>
      <c r="K101" s="6" t="n">
        <v>2.07</v>
      </c>
      <c r="L101" s="6" t="n">
        <v>325968</v>
      </c>
      <c r="M101" s="6" t="n">
        <v>138</v>
      </c>
      <c r="N101" s="8" t="inlineStr">
        <is>
          <t>Mantenimiento Urgente</t>
        </is>
      </c>
    </row>
    <row r="102">
      <c r="A102" s="4" t="inlineStr">
        <is>
          <t>CAM-099</t>
        </is>
      </c>
      <c r="B102" s="4" t="inlineStr">
        <is>
          <t>Liebherr T 282C</t>
        </is>
      </c>
      <c r="C102" s="4" t="n">
        <v>2022</v>
      </c>
      <c r="D102" s="4" t="n">
        <v>6217</v>
      </c>
      <c r="E102" s="4" t="n">
        <v>81.59999999999999</v>
      </c>
      <c r="F102" s="4" t="n">
        <v>5.97</v>
      </c>
      <c r="G102" s="4" t="n">
        <v>542.3</v>
      </c>
      <c r="H102" s="4" t="n">
        <v>26.1</v>
      </c>
      <c r="I102" s="4" t="n">
        <v>336.5</v>
      </c>
      <c r="J102" s="4" t="n">
        <v>7.27</v>
      </c>
      <c r="K102" s="4" t="n">
        <v>0.33</v>
      </c>
      <c r="L102" s="4" t="n">
        <v>112429</v>
      </c>
      <c r="M102" s="4" t="n">
        <v>32</v>
      </c>
      <c r="N102" s="7" t="inlineStr">
        <is>
          <t>Operativo Normal</t>
        </is>
      </c>
    </row>
    <row r="103">
      <c r="A103" s="6" t="inlineStr">
        <is>
          <t>CAM-100</t>
        </is>
      </c>
      <c r="B103" s="6" t="inlineStr">
        <is>
          <t>BelAZ 75710</t>
        </is>
      </c>
      <c r="C103" s="6" t="n">
        <v>2016</v>
      </c>
      <c r="D103" s="6" t="n">
        <v>17738</v>
      </c>
      <c r="E103" s="6" t="n">
        <v>81.8</v>
      </c>
      <c r="F103" s="6" t="n">
        <v>2.75</v>
      </c>
      <c r="G103" s="6" t="n">
        <v>1724.3</v>
      </c>
      <c r="H103" s="6" t="n">
        <v>26.3</v>
      </c>
      <c r="I103" s="6" t="n">
        <v>278.1</v>
      </c>
      <c r="J103" s="6" t="n">
        <v>5.7</v>
      </c>
      <c r="K103" s="6" t="n">
        <v>0.7</v>
      </c>
      <c r="L103" s="6" t="n">
        <v>380339</v>
      </c>
      <c r="M103" s="6" t="n">
        <v>168</v>
      </c>
      <c r="N103" s="8" t="inlineStr">
        <is>
          <t>Mantenimiento Urgente</t>
        </is>
      </c>
    </row>
    <row r="104">
      <c r="A104" s="4" t="inlineStr">
        <is>
          <t>CAM-101</t>
        </is>
      </c>
      <c r="B104" s="4" t="inlineStr">
        <is>
          <t>Terex MT6300</t>
        </is>
      </c>
      <c r="C104" s="4" t="n">
        <v>2014</v>
      </c>
      <c r="D104" s="4" t="n">
        <v>15509</v>
      </c>
      <c r="E104" s="4" t="n">
        <v>113.6</v>
      </c>
      <c r="F104" s="4" t="n">
        <v>2.62</v>
      </c>
      <c r="G104" s="4" t="n">
        <v>3779.7</v>
      </c>
      <c r="H104" s="4" t="n">
        <v>48.1</v>
      </c>
      <c r="I104" s="4" t="n">
        <v>227.9</v>
      </c>
      <c r="J104" s="4" t="n">
        <v>1.74</v>
      </c>
      <c r="K104" s="4" t="n">
        <v>1.58</v>
      </c>
      <c r="L104" s="4" t="n">
        <v>563401</v>
      </c>
      <c r="M104" s="4" t="n">
        <v>20</v>
      </c>
      <c r="N104" s="5" t="inlineStr">
        <is>
          <t>Mantenimiento Próximo</t>
        </is>
      </c>
    </row>
    <row r="105">
      <c r="A105" s="6" t="inlineStr">
        <is>
          <t>CAM-102</t>
        </is>
      </c>
      <c r="B105" s="6" t="inlineStr">
        <is>
          <t>Liebherr T 282C</t>
        </is>
      </c>
      <c r="C105" s="6" t="n">
        <v>2019</v>
      </c>
      <c r="D105" s="6" t="n">
        <v>5360</v>
      </c>
      <c r="E105" s="6" t="n">
        <v>78.90000000000001</v>
      </c>
      <c r="F105" s="6" t="n">
        <v>3.6</v>
      </c>
      <c r="G105" s="6" t="n">
        <v>2414.5</v>
      </c>
      <c r="H105" s="6" t="n">
        <v>34.7</v>
      </c>
      <c r="I105" s="6" t="n">
        <v>197.6</v>
      </c>
      <c r="J105" s="6" t="n">
        <v>11.94</v>
      </c>
      <c r="K105" s="6" t="n">
        <v>1.26</v>
      </c>
      <c r="L105" s="6" t="n">
        <v>141131</v>
      </c>
      <c r="M105" s="6" t="n">
        <v>154</v>
      </c>
      <c r="N105" s="8" t="inlineStr">
        <is>
          <t>Mantenimiento Urgente</t>
        </is>
      </c>
    </row>
    <row r="106">
      <c r="A106" s="4" t="inlineStr">
        <is>
          <t>CAM-103</t>
        </is>
      </c>
      <c r="B106" s="4" t="inlineStr">
        <is>
          <t>Hitachi EH5000</t>
        </is>
      </c>
      <c r="C106" s="4" t="n">
        <v>2011</v>
      </c>
      <c r="D106" s="4" t="n">
        <v>23495</v>
      </c>
      <c r="E106" s="4" t="n">
        <v>81.90000000000001</v>
      </c>
      <c r="F106" s="4" t="n">
        <v>5.12</v>
      </c>
      <c r="G106" s="4" t="n">
        <v>3328.2</v>
      </c>
      <c r="H106" s="4" t="n">
        <v>34.8</v>
      </c>
      <c r="I106" s="4" t="n">
        <v>359.6</v>
      </c>
      <c r="J106" s="4" t="n">
        <v>5.45</v>
      </c>
      <c r="K106" s="4" t="n">
        <v>1.9</v>
      </c>
      <c r="L106" s="4" t="n">
        <v>608996</v>
      </c>
      <c r="M106" s="4" t="n">
        <v>116</v>
      </c>
      <c r="N106" s="5" t="inlineStr">
        <is>
          <t>Mantenimiento Próximo</t>
        </is>
      </c>
    </row>
    <row r="107">
      <c r="A107" s="6" t="inlineStr">
        <is>
          <t>CAM-104</t>
        </is>
      </c>
      <c r="B107" s="6" t="inlineStr">
        <is>
          <t>Hitachi EH5000</t>
        </is>
      </c>
      <c r="C107" s="6" t="n">
        <v>2016</v>
      </c>
      <c r="D107" s="6" t="n">
        <v>24407</v>
      </c>
      <c r="E107" s="6" t="n">
        <v>80.7</v>
      </c>
      <c r="F107" s="6" t="n">
        <v>4.21</v>
      </c>
      <c r="G107" s="6" t="n">
        <v>2534.2</v>
      </c>
      <c r="H107" s="6" t="n">
        <v>26.8</v>
      </c>
      <c r="I107" s="6" t="n">
        <v>145.8</v>
      </c>
      <c r="J107" s="6" t="n">
        <v>11.11</v>
      </c>
      <c r="K107" s="6" t="n">
        <v>0.42</v>
      </c>
      <c r="L107" s="6" t="n">
        <v>582888</v>
      </c>
      <c r="M107" s="6" t="n">
        <v>23</v>
      </c>
      <c r="N107" s="5" t="inlineStr">
        <is>
          <t>Mantenimiento Próximo</t>
        </is>
      </c>
    </row>
    <row r="108">
      <c r="A108" s="4" t="inlineStr">
        <is>
          <t>CAM-105</t>
        </is>
      </c>
      <c r="B108" s="4" t="inlineStr">
        <is>
          <t>Hitachi EH5000</t>
        </is>
      </c>
      <c r="C108" s="4" t="n">
        <v>2011</v>
      </c>
      <c r="D108" s="4" t="n">
        <v>24898</v>
      </c>
      <c r="E108" s="4" t="n">
        <v>119.3</v>
      </c>
      <c r="F108" s="4" t="n">
        <v>5.75</v>
      </c>
      <c r="G108" s="4" t="n">
        <v>2128</v>
      </c>
      <c r="H108" s="4" t="n">
        <v>36.4</v>
      </c>
      <c r="I108" s="4" t="n">
        <v>268.5</v>
      </c>
      <c r="J108" s="4" t="n">
        <v>4.29</v>
      </c>
      <c r="K108" s="4" t="n">
        <v>0.52</v>
      </c>
      <c r="L108" s="4" t="n">
        <v>655934</v>
      </c>
      <c r="M108" s="4" t="n">
        <v>170</v>
      </c>
      <c r="N108" s="5" t="inlineStr">
        <is>
          <t>Mantenimiento Próximo</t>
        </is>
      </c>
    </row>
    <row r="109">
      <c r="A109" s="6" t="inlineStr">
        <is>
          <t>CAM-106</t>
        </is>
      </c>
      <c r="B109" s="6" t="inlineStr">
        <is>
          <t>Hitachi EH5000</t>
        </is>
      </c>
      <c r="C109" s="6" t="n">
        <v>2023</v>
      </c>
      <c r="D109" s="6" t="n">
        <v>24127</v>
      </c>
      <c r="E109" s="6" t="n">
        <v>78.09999999999999</v>
      </c>
      <c r="F109" s="6" t="n">
        <v>3.65</v>
      </c>
      <c r="G109" s="6" t="n">
        <v>1217</v>
      </c>
      <c r="H109" s="6" t="n">
        <v>14.7</v>
      </c>
      <c r="I109" s="6" t="n">
        <v>252.2</v>
      </c>
      <c r="J109" s="6" t="n">
        <v>2.28</v>
      </c>
      <c r="K109" s="6" t="n">
        <v>1.17</v>
      </c>
      <c r="L109" s="6" t="n">
        <v>317975</v>
      </c>
      <c r="M109" s="6" t="n">
        <v>89</v>
      </c>
      <c r="N109" s="5" t="inlineStr">
        <is>
          <t>Mantenimiento Próximo</t>
        </is>
      </c>
    </row>
    <row r="110">
      <c r="A110" s="4" t="inlineStr">
        <is>
          <t>CAM-107</t>
        </is>
      </c>
      <c r="B110" s="4" t="inlineStr">
        <is>
          <t>Terex MT6300</t>
        </is>
      </c>
      <c r="C110" s="4" t="n">
        <v>2015</v>
      </c>
      <c r="D110" s="4" t="n">
        <v>4264</v>
      </c>
      <c r="E110" s="4" t="n">
        <v>120.8</v>
      </c>
      <c r="F110" s="4" t="n">
        <v>4.8</v>
      </c>
      <c r="G110" s="4" t="n">
        <v>3065</v>
      </c>
      <c r="H110" s="4" t="n">
        <v>48</v>
      </c>
      <c r="I110" s="4" t="n">
        <v>392.4</v>
      </c>
      <c r="J110" s="4" t="n">
        <v>9.91</v>
      </c>
      <c r="K110" s="4" t="n">
        <v>1.4</v>
      </c>
      <c r="L110" s="4" t="n">
        <v>168843</v>
      </c>
      <c r="M110" s="4" t="n">
        <v>6</v>
      </c>
      <c r="N110" s="8" t="inlineStr">
        <is>
          <t>Mantenimiento Urgente</t>
        </is>
      </c>
    </row>
    <row r="111">
      <c r="A111" s="6" t="inlineStr">
        <is>
          <t>CAM-108</t>
        </is>
      </c>
      <c r="B111" s="6" t="inlineStr">
        <is>
          <t>Terex MT6300</t>
        </is>
      </c>
      <c r="C111" s="6" t="n">
        <v>2020</v>
      </c>
      <c r="D111" s="6" t="n">
        <v>23223</v>
      </c>
      <c r="E111" s="6" t="n">
        <v>91</v>
      </c>
      <c r="F111" s="6" t="n">
        <v>3.22</v>
      </c>
      <c r="G111" s="6" t="n">
        <v>2674.6</v>
      </c>
      <c r="H111" s="6" t="n">
        <v>23.9</v>
      </c>
      <c r="I111" s="6" t="n">
        <v>201.9</v>
      </c>
      <c r="J111" s="6" t="n">
        <v>0.57</v>
      </c>
      <c r="K111" s="6" t="n">
        <v>1.87</v>
      </c>
      <c r="L111" s="6" t="n">
        <v>443032</v>
      </c>
      <c r="M111" s="6" t="n">
        <v>102</v>
      </c>
      <c r="N111" s="5" t="inlineStr">
        <is>
          <t>Mantenimiento Próximo</t>
        </is>
      </c>
    </row>
    <row r="112">
      <c r="A112" s="4" t="inlineStr">
        <is>
          <t>CAM-109</t>
        </is>
      </c>
      <c r="B112" s="4" t="inlineStr">
        <is>
          <t>Caterpillar 797F</t>
        </is>
      </c>
      <c r="C112" s="4" t="n">
        <v>2012</v>
      </c>
      <c r="D112" s="4" t="n">
        <v>24780</v>
      </c>
      <c r="E112" s="4" t="n">
        <v>113</v>
      </c>
      <c r="F112" s="4" t="n">
        <v>2.62</v>
      </c>
      <c r="G112" s="4" t="n">
        <v>2836.7</v>
      </c>
      <c r="H112" s="4" t="n">
        <v>19.7</v>
      </c>
      <c r="I112" s="4" t="n">
        <v>225.9</v>
      </c>
      <c r="J112" s="4" t="n">
        <v>4.42</v>
      </c>
      <c r="K112" s="4" t="n">
        <v>0.97</v>
      </c>
      <c r="L112" s="4" t="n">
        <v>416190</v>
      </c>
      <c r="M112" s="4" t="n">
        <v>145</v>
      </c>
      <c r="N112" s="8" t="inlineStr">
        <is>
          <t>Mantenimiento Urgente</t>
        </is>
      </c>
    </row>
    <row r="113">
      <c r="A113" s="6" t="inlineStr">
        <is>
          <t>CAM-110</t>
        </is>
      </c>
      <c r="B113" s="6" t="inlineStr">
        <is>
          <t>Terex MT6300</t>
        </is>
      </c>
      <c r="C113" s="6" t="n">
        <v>2011</v>
      </c>
      <c r="D113" s="6" t="n">
        <v>2223</v>
      </c>
      <c r="E113" s="6" t="n">
        <v>84.3</v>
      </c>
      <c r="F113" s="6" t="n">
        <v>5.52</v>
      </c>
      <c r="G113" s="6" t="n">
        <v>235.9</v>
      </c>
      <c r="H113" s="6" t="n">
        <v>13.7</v>
      </c>
      <c r="I113" s="6" t="n">
        <v>232.9</v>
      </c>
      <c r="J113" s="6" t="n">
        <v>5.38</v>
      </c>
      <c r="K113" s="6" t="n">
        <v>1.39</v>
      </c>
      <c r="L113" s="6" t="n">
        <v>22688</v>
      </c>
      <c r="M113" s="6" t="n">
        <v>55</v>
      </c>
      <c r="N113" s="7" t="inlineStr">
        <is>
          <t>Operativo Normal</t>
        </is>
      </c>
    </row>
    <row r="114">
      <c r="A114" s="4" t="inlineStr">
        <is>
          <t>CAM-111</t>
        </is>
      </c>
      <c r="B114" s="4" t="inlineStr">
        <is>
          <t>Terex MT6300</t>
        </is>
      </c>
      <c r="C114" s="4" t="n">
        <v>2011</v>
      </c>
      <c r="D114" s="4" t="n">
        <v>11810</v>
      </c>
      <c r="E114" s="4" t="n">
        <v>100.8</v>
      </c>
      <c r="F114" s="4" t="n">
        <v>3.63</v>
      </c>
      <c r="G114" s="4" t="n">
        <v>2584.1</v>
      </c>
      <c r="H114" s="4" t="n">
        <v>31.9</v>
      </c>
      <c r="I114" s="4" t="n">
        <v>300.1</v>
      </c>
      <c r="J114" s="4" t="n">
        <v>1.02</v>
      </c>
      <c r="K114" s="4" t="n">
        <v>1.01</v>
      </c>
      <c r="L114" s="4" t="n">
        <v>305070</v>
      </c>
      <c r="M114" s="4" t="n">
        <v>1</v>
      </c>
      <c r="N114" s="7" t="inlineStr">
        <is>
          <t>Operativo Normal</t>
        </is>
      </c>
    </row>
    <row r="115">
      <c r="A115" s="6" t="inlineStr">
        <is>
          <t>CAM-112</t>
        </is>
      </c>
      <c r="B115" s="6" t="inlineStr">
        <is>
          <t>Komatsu 960E</t>
        </is>
      </c>
      <c r="C115" s="6" t="n">
        <v>2014</v>
      </c>
      <c r="D115" s="6" t="n">
        <v>7421</v>
      </c>
      <c r="E115" s="6" t="n">
        <v>121</v>
      </c>
      <c r="F115" s="6" t="n">
        <v>5.56</v>
      </c>
      <c r="G115" s="6" t="n">
        <v>1131.1</v>
      </c>
      <c r="H115" s="6" t="n">
        <v>15.4</v>
      </c>
      <c r="I115" s="6" t="n">
        <v>249.2</v>
      </c>
      <c r="J115" s="6" t="n">
        <v>5.45</v>
      </c>
      <c r="K115" s="6" t="n">
        <v>0.53</v>
      </c>
      <c r="L115" s="6" t="n">
        <v>89873</v>
      </c>
      <c r="M115" s="6" t="n">
        <v>58</v>
      </c>
      <c r="N115" s="5" t="inlineStr">
        <is>
          <t>Mantenimiento Próximo</t>
        </is>
      </c>
    </row>
    <row r="116">
      <c r="A116" s="4" t="inlineStr">
        <is>
          <t>CAM-113</t>
        </is>
      </c>
      <c r="B116" s="4" t="inlineStr">
        <is>
          <t>Terex MT6300</t>
        </is>
      </c>
      <c r="C116" s="4" t="n">
        <v>2018</v>
      </c>
      <c r="D116" s="4" t="n">
        <v>22390</v>
      </c>
      <c r="E116" s="4" t="n">
        <v>123.4</v>
      </c>
      <c r="F116" s="4" t="n">
        <v>2.79</v>
      </c>
      <c r="G116" s="4" t="n">
        <v>3268.7</v>
      </c>
      <c r="H116" s="4" t="n">
        <v>11.9</v>
      </c>
      <c r="I116" s="4" t="n">
        <v>105.6</v>
      </c>
      <c r="J116" s="4" t="n">
        <v>11.09</v>
      </c>
      <c r="K116" s="4" t="n">
        <v>1.85</v>
      </c>
      <c r="L116" s="4" t="n">
        <v>213557</v>
      </c>
      <c r="M116" s="4" t="n">
        <v>146</v>
      </c>
      <c r="N116" s="8" t="inlineStr">
        <is>
          <t>Mantenimiento Urgente</t>
        </is>
      </c>
    </row>
    <row r="117">
      <c r="A117" s="6" t="inlineStr">
        <is>
          <t>CAM-114</t>
        </is>
      </c>
      <c r="B117" s="6" t="inlineStr">
        <is>
          <t>Hitachi EH5000</t>
        </is>
      </c>
      <c r="C117" s="6" t="n">
        <v>2021</v>
      </c>
      <c r="D117" s="6" t="n">
        <v>21476</v>
      </c>
      <c r="E117" s="6" t="n">
        <v>100.1</v>
      </c>
      <c r="F117" s="6" t="n">
        <v>2.96</v>
      </c>
      <c r="G117" s="6" t="n">
        <v>127.9</v>
      </c>
      <c r="H117" s="6" t="n">
        <v>24.6</v>
      </c>
      <c r="I117" s="6" t="n">
        <v>340.4</v>
      </c>
      <c r="J117" s="6" t="n">
        <v>7.61</v>
      </c>
      <c r="K117" s="6" t="n">
        <v>1.8</v>
      </c>
      <c r="L117" s="6" t="n">
        <v>487059</v>
      </c>
      <c r="M117" s="6" t="n">
        <v>22</v>
      </c>
      <c r="N117" s="8" t="inlineStr">
        <is>
          <t>Mantenimiento Urgente</t>
        </is>
      </c>
    </row>
    <row r="118">
      <c r="A118" s="4" t="inlineStr">
        <is>
          <t>CAM-115</t>
        </is>
      </c>
      <c r="B118" s="4" t="inlineStr">
        <is>
          <t>Hitachi EH5000</t>
        </is>
      </c>
      <c r="C118" s="4" t="n">
        <v>2023</v>
      </c>
      <c r="D118" s="4" t="n">
        <v>3968</v>
      </c>
      <c r="E118" s="4" t="n">
        <v>89.59999999999999</v>
      </c>
      <c r="F118" s="4" t="n">
        <v>4.86</v>
      </c>
      <c r="G118" s="4" t="n">
        <v>2007</v>
      </c>
      <c r="H118" s="4" t="n">
        <v>27.8</v>
      </c>
      <c r="I118" s="4" t="n">
        <v>193.1</v>
      </c>
      <c r="J118" s="4" t="n">
        <v>4.4</v>
      </c>
      <c r="K118" s="4" t="n">
        <v>0.9</v>
      </c>
      <c r="L118" s="4" t="n">
        <v>72678</v>
      </c>
      <c r="M118" s="4" t="n">
        <v>130</v>
      </c>
      <c r="N118" s="7" t="inlineStr">
        <is>
          <t>Operativo Normal</t>
        </is>
      </c>
    </row>
    <row r="119">
      <c r="A119" s="6" t="inlineStr">
        <is>
          <t>CAM-116</t>
        </is>
      </c>
      <c r="B119" s="6" t="inlineStr">
        <is>
          <t>BelAZ 75710</t>
        </is>
      </c>
      <c r="C119" s="6" t="n">
        <v>2011</v>
      </c>
      <c r="D119" s="6" t="n">
        <v>17886</v>
      </c>
      <c r="E119" s="6" t="n">
        <v>105.6</v>
      </c>
      <c r="F119" s="6" t="n">
        <v>6.12</v>
      </c>
      <c r="G119" s="6" t="n">
        <v>1354.9</v>
      </c>
      <c r="H119" s="6" t="n">
        <v>42.7</v>
      </c>
      <c r="I119" s="6" t="n">
        <v>345.7</v>
      </c>
      <c r="J119" s="6" t="n">
        <v>9.869999999999999</v>
      </c>
      <c r="K119" s="6" t="n">
        <v>0.73</v>
      </c>
      <c r="L119" s="6" t="n">
        <v>497385</v>
      </c>
      <c r="M119" s="6" t="n">
        <v>50</v>
      </c>
      <c r="N119" s="5" t="inlineStr">
        <is>
          <t>Mantenimiento Próximo</t>
        </is>
      </c>
    </row>
    <row r="120">
      <c r="A120" s="4" t="inlineStr">
        <is>
          <t>CAM-117</t>
        </is>
      </c>
      <c r="B120" s="4" t="inlineStr">
        <is>
          <t>Komatsu 960E</t>
        </is>
      </c>
      <c r="C120" s="4" t="n">
        <v>2019</v>
      </c>
      <c r="D120" s="4" t="n">
        <v>5509</v>
      </c>
      <c r="E120" s="4" t="n">
        <v>120.6</v>
      </c>
      <c r="F120" s="4" t="n">
        <v>5.12</v>
      </c>
      <c r="G120" s="4" t="n">
        <v>711.6</v>
      </c>
      <c r="H120" s="4" t="n">
        <v>44.8</v>
      </c>
      <c r="I120" s="4" t="n">
        <v>248.2</v>
      </c>
      <c r="J120" s="4" t="n">
        <v>9.18</v>
      </c>
      <c r="K120" s="4" t="n">
        <v>1.67</v>
      </c>
      <c r="L120" s="4" t="n">
        <v>186859</v>
      </c>
      <c r="M120" s="4" t="n">
        <v>144</v>
      </c>
      <c r="N120" s="8" t="inlineStr">
        <is>
          <t>Mantenimiento Urgente</t>
        </is>
      </c>
    </row>
    <row r="121">
      <c r="A121" s="6" t="inlineStr">
        <is>
          <t>CAM-118</t>
        </is>
      </c>
      <c r="B121" s="6" t="inlineStr">
        <is>
          <t>BelAZ 75710</t>
        </is>
      </c>
      <c r="C121" s="6" t="n">
        <v>2020</v>
      </c>
      <c r="D121" s="6" t="n">
        <v>20964</v>
      </c>
      <c r="E121" s="6" t="n">
        <v>94.40000000000001</v>
      </c>
      <c r="F121" s="6" t="n">
        <v>6.38</v>
      </c>
      <c r="G121" s="6" t="n">
        <v>1230.8</v>
      </c>
      <c r="H121" s="6" t="n">
        <v>29.8</v>
      </c>
      <c r="I121" s="6" t="n">
        <v>240.7</v>
      </c>
      <c r="J121" s="6" t="n">
        <v>7.76</v>
      </c>
      <c r="K121" s="6" t="n">
        <v>1.73</v>
      </c>
      <c r="L121" s="6" t="n">
        <v>504153</v>
      </c>
      <c r="M121" s="6" t="n">
        <v>90</v>
      </c>
      <c r="N121" s="5" t="inlineStr">
        <is>
          <t>Mantenimiento Próximo</t>
        </is>
      </c>
    </row>
    <row r="122">
      <c r="A122" s="4" t="inlineStr">
        <is>
          <t>CAM-119</t>
        </is>
      </c>
      <c r="B122" s="4" t="inlineStr">
        <is>
          <t>Terex MT6300</t>
        </is>
      </c>
      <c r="C122" s="4" t="n">
        <v>2011</v>
      </c>
      <c r="D122" s="4" t="n">
        <v>10671</v>
      </c>
      <c r="E122" s="4" t="n">
        <v>102.7</v>
      </c>
      <c r="F122" s="4" t="n">
        <v>2.65</v>
      </c>
      <c r="G122" s="4" t="n">
        <v>1427.2</v>
      </c>
      <c r="H122" s="4" t="n">
        <v>22.9</v>
      </c>
      <c r="I122" s="4" t="n">
        <v>293.4</v>
      </c>
      <c r="J122" s="4" t="n">
        <v>11.74</v>
      </c>
      <c r="K122" s="4" t="n">
        <v>0.46</v>
      </c>
      <c r="L122" s="4" t="n">
        <v>197430</v>
      </c>
      <c r="M122" s="4" t="n">
        <v>98</v>
      </c>
      <c r="N122" s="8" t="inlineStr">
        <is>
          <t>Mantenimiento Urgente</t>
        </is>
      </c>
    </row>
    <row r="123">
      <c r="A123" s="6" t="inlineStr">
        <is>
          <t>CAM-120</t>
        </is>
      </c>
      <c r="B123" s="6" t="inlineStr">
        <is>
          <t>Hitachi EH5000</t>
        </is>
      </c>
      <c r="C123" s="6" t="n">
        <v>2019</v>
      </c>
      <c r="D123" s="6" t="n">
        <v>18663</v>
      </c>
      <c r="E123" s="6" t="n">
        <v>132.3</v>
      </c>
      <c r="F123" s="6" t="n">
        <v>5.46</v>
      </c>
      <c r="G123" s="6" t="n">
        <v>203.2</v>
      </c>
      <c r="H123" s="6" t="n">
        <v>50.9</v>
      </c>
      <c r="I123" s="6" t="n">
        <v>271.5</v>
      </c>
      <c r="J123" s="6" t="n">
        <v>2.66</v>
      </c>
      <c r="K123" s="6" t="n">
        <v>1.39</v>
      </c>
      <c r="L123" s="6" t="n">
        <v>736663</v>
      </c>
      <c r="M123" s="6" t="n">
        <v>15</v>
      </c>
      <c r="N123" s="5" t="inlineStr">
        <is>
          <t>Mantenimiento Próximo</t>
        </is>
      </c>
    </row>
    <row r="124">
      <c r="A124" s="4" t="inlineStr">
        <is>
          <t>CAM-121</t>
        </is>
      </c>
      <c r="B124" s="4" t="inlineStr">
        <is>
          <t>Hitachi EH5000</t>
        </is>
      </c>
      <c r="C124" s="4" t="n">
        <v>2011</v>
      </c>
      <c r="D124" s="4" t="n">
        <v>11753</v>
      </c>
      <c r="E124" s="4" t="n">
        <v>133.9</v>
      </c>
      <c r="F124" s="4" t="n">
        <v>2.84</v>
      </c>
      <c r="G124" s="4" t="n">
        <v>2463.3</v>
      </c>
      <c r="H124" s="4" t="n">
        <v>11.8</v>
      </c>
      <c r="I124" s="4" t="n">
        <v>312.3</v>
      </c>
      <c r="J124" s="4" t="n">
        <v>11.9</v>
      </c>
      <c r="K124" s="4" t="n">
        <v>1.24</v>
      </c>
      <c r="L124" s="4" t="n">
        <v>112811</v>
      </c>
      <c r="M124" s="4" t="n">
        <v>93</v>
      </c>
      <c r="N124" s="8" t="inlineStr">
        <is>
          <t>Mantenimiento Urgente</t>
        </is>
      </c>
    </row>
    <row r="125">
      <c r="A125" s="6" t="inlineStr">
        <is>
          <t>CAM-122</t>
        </is>
      </c>
      <c r="B125" s="6" t="inlineStr">
        <is>
          <t>Liebherr T 282C</t>
        </is>
      </c>
      <c r="C125" s="6" t="n">
        <v>2014</v>
      </c>
      <c r="D125" s="6" t="n">
        <v>13194</v>
      </c>
      <c r="E125" s="6" t="n">
        <v>99.5</v>
      </c>
      <c r="F125" s="6" t="n">
        <v>3.85</v>
      </c>
      <c r="G125" s="6" t="n">
        <v>2283.1</v>
      </c>
      <c r="H125" s="6" t="n">
        <v>45.5</v>
      </c>
      <c r="I125" s="6" t="n">
        <v>294.2</v>
      </c>
      <c r="J125" s="6" t="n">
        <v>1.26</v>
      </c>
      <c r="K125" s="6" t="n">
        <v>0.47</v>
      </c>
      <c r="L125" s="6" t="n">
        <v>502734</v>
      </c>
      <c r="M125" s="6" t="n">
        <v>72</v>
      </c>
      <c r="N125" s="7" t="inlineStr">
        <is>
          <t>Operativo Normal</t>
        </is>
      </c>
    </row>
    <row r="126">
      <c r="A126" s="4" t="inlineStr">
        <is>
          <t>CAM-123</t>
        </is>
      </c>
      <c r="B126" s="4" t="inlineStr">
        <is>
          <t>Liebherr T 282C</t>
        </is>
      </c>
      <c r="C126" s="4" t="n">
        <v>2021</v>
      </c>
      <c r="D126" s="4" t="n">
        <v>22014</v>
      </c>
      <c r="E126" s="4" t="n">
        <v>132.9</v>
      </c>
      <c r="F126" s="4" t="n">
        <v>4.91</v>
      </c>
      <c r="G126" s="4" t="n">
        <v>611.6</v>
      </c>
      <c r="H126" s="4" t="n">
        <v>13.7</v>
      </c>
      <c r="I126" s="4" t="n">
        <v>299.1</v>
      </c>
      <c r="J126" s="4" t="n">
        <v>11.04</v>
      </c>
      <c r="K126" s="4" t="n">
        <v>0.86</v>
      </c>
      <c r="L126" s="4" t="n">
        <v>250206</v>
      </c>
      <c r="M126" s="4" t="n">
        <v>169</v>
      </c>
      <c r="N126" s="8" t="inlineStr">
        <is>
          <t>Mantenimiento Urgente</t>
        </is>
      </c>
    </row>
    <row r="127">
      <c r="A127" s="6" t="inlineStr">
        <is>
          <t>CAM-124</t>
        </is>
      </c>
      <c r="B127" s="6" t="inlineStr">
        <is>
          <t>Hitachi EH5000</t>
        </is>
      </c>
      <c r="C127" s="6" t="n">
        <v>2012</v>
      </c>
      <c r="D127" s="6" t="n">
        <v>19998</v>
      </c>
      <c r="E127" s="6" t="n">
        <v>117.5</v>
      </c>
      <c r="F127" s="6" t="n">
        <v>2.84</v>
      </c>
      <c r="G127" s="6" t="n">
        <v>2137.6</v>
      </c>
      <c r="H127" s="6" t="n">
        <v>39</v>
      </c>
      <c r="I127" s="6" t="n">
        <v>198.5</v>
      </c>
      <c r="J127" s="6" t="n">
        <v>1.97</v>
      </c>
      <c r="K127" s="6" t="n">
        <v>1.57</v>
      </c>
      <c r="L127" s="6" t="n">
        <v>726488</v>
      </c>
      <c r="M127" s="6" t="n">
        <v>175</v>
      </c>
      <c r="N127" s="8" t="inlineStr">
        <is>
          <t>Mantenimiento Urgente</t>
        </is>
      </c>
    </row>
    <row r="128">
      <c r="A128" s="4" t="inlineStr">
        <is>
          <t>CAM-125</t>
        </is>
      </c>
      <c r="B128" s="4" t="inlineStr">
        <is>
          <t>Terex MT6300</t>
        </is>
      </c>
      <c r="C128" s="4" t="n">
        <v>2011</v>
      </c>
      <c r="D128" s="4" t="n">
        <v>21668</v>
      </c>
      <c r="E128" s="4" t="n">
        <v>115.2</v>
      </c>
      <c r="F128" s="4" t="n">
        <v>4.53</v>
      </c>
      <c r="G128" s="4" t="n">
        <v>118.1</v>
      </c>
      <c r="H128" s="4" t="n">
        <v>23.9</v>
      </c>
      <c r="I128" s="4" t="n">
        <v>385.4</v>
      </c>
      <c r="J128" s="4" t="n">
        <v>4.43</v>
      </c>
      <c r="K128" s="4" t="n">
        <v>1.68</v>
      </c>
      <c r="L128" s="4" t="n">
        <v>345521</v>
      </c>
      <c r="M128" s="4" t="n">
        <v>35</v>
      </c>
      <c r="N128" s="5" t="inlineStr">
        <is>
          <t>Mantenimiento Próximo</t>
        </is>
      </c>
    </row>
    <row r="129">
      <c r="A129" s="6" t="inlineStr">
        <is>
          <t>CAM-126</t>
        </is>
      </c>
      <c r="B129" s="6" t="inlineStr">
        <is>
          <t>Komatsu 960E</t>
        </is>
      </c>
      <c r="C129" s="6" t="n">
        <v>2011</v>
      </c>
      <c r="D129" s="6" t="n">
        <v>10192</v>
      </c>
      <c r="E129" s="6" t="n">
        <v>125.7</v>
      </c>
      <c r="F129" s="6" t="n">
        <v>2.9</v>
      </c>
      <c r="G129" s="6" t="n">
        <v>2929.2</v>
      </c>
      <c r="H129" s="6" t="n">
        <v>47.6</v>
      </c>
      <c r="I129" s="6" t="n">
        <v>365.1</v>
      </c>
      <c r="J129" s="6" t="n">
        <v>0.93</v>
      </c>
      <c r="K129" s="6" t="n">
        <v>0.91</v>
      </c>
      <c r="L129" s="6" t="n">
        <v>421202</v>
      </c>
      <c r="M129" s="6" t="n">
        <v>33</v>
      </c>
      <c r="N129" s="8" t="inlineStr">
        <is>
          <t>Mantenimiento Urgente</t>
        </is>
      </c>
    </row>
    <row r="130">
      <c r="A130" s="4" t="inlineStr">
        <is>
          <t>CAM-127</t>
        </is>
      </c>
      <c r="B130" s="4" t="inlineStr">
        <is>
          <t>Terex MT6300</t>
        </is>
      </c>
      <c r="C130" s="4" t="n">
        <v>2016</v>
      </c>
      <c r="D130" s="4" t="n">
        <v>5554</v>
      </c>
      <c r="E130" s="4" t="n">
        <v>84.7</v>
      </c>
      <c r="F130" s="4" t="n">
        <v>5.83</v>
      </c>
      <c r="G130" s="4" t="n">
        <v>2930.1</v>
      </c>
      <c r="H130" s="4" t="n">
        <v>46.4</v>
      </c>
      <c r="I130" s="4" t="n">
        <v>149.7</v>
      </c>
      <c r="J130" s="4" t="n">
        <v>5.53</v>
      </c>
      <c r="K130" s="4" t="n">
        <v>1.04</v>
      </c>
      <c r="L130" s="4" t="n">
        <v>215629</v>
      </c>
      <c r="M130" s="4" t="n">
        <v>60</v>
      </c>
      <c r="N130" s="7" t="inlineStr">
        <is>
          <t>Operativo Normal</t>
        </is>
      </c>
    </row>
    <row r="131">
      <c r="A131" s="6" t="inlineStr">
        <is>
          <t>CAM-128</t>
        </is>
      </c>
      <c r="B131" s="6" t="inlineStr">
        <is>
          <t>Hitachi EH5000</t>
        </is>
      </c>
      <c r="C131" s="6" t="n">
        <v>2019</v>
      </c>
      <c r="D131" s="6" t="n">
        <v>9836</v>
      </c>
      <c r="E131" s="6" t="n">
        <v>120.1</v>
      </c>
      <c r="F131" s="6" t="n">
        <v>5.64</v>
      </c>
      <c r="G131" s="6" t="n">
        <v>924</v>
      </c>
      <c r="H131" s="6" t="n">
        <v>20.8</v>
      </c>
      <c r="I131" s="6" t="n">
        <v>389.7</v>
      </c>
      <c r="J131" s="6" t="n">
        <v>9.52</v>
      </c>
      <c r="K131" s="6" t="n">
        <v>1.93</v>
      </c>
      <c r="L131" s="6" t="n">
        <v>136646</v>
      </c>
      <c r="M131" s="6" t="n">
        <v>173</v>
      </c>
      <c r="N131" s="8" t="inlineStr">
        <is>
          <t>Mantenimiento Urgente</t>
        </is>
      </c>
    </row>
    <row r="132">
      <c r="A132" s="4" t="inlineStr">
        <is>
          <t>CAM-129</t>
        </is>
      </c>
      <c r="B132" s="4" t="inlineStr">
        <is>
          <t>Terex MT6300</t>
        </is>
      </c>
      <c r="C132" s="4" t="n">
        <v>2017</v>
      </c>
      <c r="D132" s="4" t="n">
        <v>15628</v>
      </c>
      <c r="E132" s="4" t="n">
        <v>121.2</v>
      </c>
      <c r="F132" s="4" t="n">
        <v>5.61</v>
      </c>
      <c r="G132" s="4" t="n">
        <v>1928.4</v>
      </c>
      <c r="H132" s="4" t="n">
        <v>28.8</v>
      </c>
      <c r="I132" s="4" t="n">
        <v>148.6</v>
      </c>
      <c r="J132" s="4" t="n">
        <v>2.8</v>
      </c>
      <c r="K132" s="4" t="n">
        <v>1.39</v>
      </c>
      <c r="L132" s="4" t="n">
        <v>407576</v>
      </c>
      <c r="M132" s="4" t="n">
        <v>13</v>
      </c>
      <c r="N132" s="5" t="inlineStr">
        <is>
          <t>Mantenimiento Próximo</t>
        </is>
      </c>
    </row>
    <row r="133">
      <c r="A133" s="6" t="inlineStr">
        <is>
          <t>CAM-130</t>
        </is>
      </c>
      <c r="B133" s="6" t="inlineStr">
        <is>
          <t>BelAZ 75710</t>
        </is>
      </c>
      <c r="C133" s="6" t="n">
        <v>2017</v>
      </c>
      <c r="D133" s="6" t="n">
        <v>12663</v>
      </c>
      <c r="E133" s="6" t="n">
        <v>108.3</v>
      </c>
      <c r="F133" s="6" t="n">
        <v>2.91</v>
      </c>
      <c r="G133" s="6" t="n">
        <v>3209.4</v>
      </c>
      <c r="H133" s="6" t="n">
        <v>48.3</v>
      </c>
      <c r="I133" s="6" t="n">
        <v>185.5</v>
      </c>
      <c r="J133" s="6" t="n">
        <v>9.279999999999999</v>
      </c>
      <c r="K133" s="6" t="n">
        <v>0.79</v>
      </c>
      <c r="L133" s="6" t="n">
        <v>560771</v>
      </c>
      <c r="M133" s="6" t="n">
        <v>37</v>
      </c>
      <c r="N133" s="8" t="inlineStr">
        <is>
          <t>Mantenimiento Urgente</t>
        </is>
      </c>
    </row>
    <row r="134">
      <c r="A134" s="4" t="inlineStr">
        <is>
          <t>CAM-131</t>
        </is>
      </c>
      <c r="B134" s="4" t="inlineStr">
        <is>
          <t>Hitachi EH5000</t>
        </is>
      </c>
      <c r="C134" s="4" t="n">
        <v>2011</v>
      </c>
      <c r="D134" s="4" t="n">
        <v>7775</v>
      </c>
      <c r="E134" s="4" t="n">
        <v>124</v>
      </c>
      <c r="F134" s="4" t="n">
        <v>6.04</v>
      </c>
      <c r="G134" s="4" t="n">
        <v>3525.3</v>
      </c>
      <c r="H134" s="4" t="n">
        <v>28.7</v>
      </c>
      <c r="I134" s="4" t="n">
        <v>218.9</v>
      </c>
      <c r="J134" s="4" t="n">
        <v>4.8</v>
      </c>
      <c r="K134" s="4" t="n">
        <v>1</v>
      </c>
      <c r="L134" s="4" t="n">
        <v>140259</v>
      </c>
      <c r="M134" s="4" t="n">
        <v>57</v>
      </c>
      <c r="N134" s="5" t="inlineStr">
        <is>
          <t>Mantenimiento Próximo</t>
        </is>
      </c>
    </row>
    <row r="135">
      <c r="A135" s="6" t="inlineStr">
        <is>
          <t>CAM-132</t>
        </is>
      </c>
      <c r="B135" s="6" t="inlineStr">
        <is>
          <t>Caterpillar 797F</t>
        </is>
      </c>
      <c r="C135" s="6" t="n">
        <v>2015</v>
      </c>
      <c r="D135" s="6" t="n">
        <v>3746</v>
      </c>
      <c r="E135" s="6" t="n">
        <v>125.4</v>
      </c>
      <c r="F135" s="6" t="n">
        <v>5.1</v>
      </c>
      <c r="G135" s="6" t="n">
        <v>3005.8</v>
      </c>
      <c r="H135" s="6" t="n">
        <v>16.2</v>
      </c>
      <c r="I135" s="6" t="n">
        <v>186.1</v>
      </c>
      <c r="J135" s="6" t="n">
        <v>10.04</v>
      </c>
      <c r="K135" s="6" t="n">
        <v>1.55</v>
      </c>
      <c r="L135" s="6" t="n">
        <v>39359</v>
      </c>
      <c r="M135" s="6" t="n">
        <v>180</v>
      </c>
      <c r="N135" s="8" t="inlineStr">
        <is>
          <t>Mantenimiento Urgente</t>
        </is>
      </c>
    </row>
    <row r="136">
      <c r="A136" s="4" t="inlineStr">
        <is>
          <t>CAM-133</t>
        </is>
      </c>
      <c r="B136" s="4" t="inlineStr">
        <is>
          <t>Hitachi EH5000</t>
        </is>
      </c>
      <c r="C136" s="4" t="n">
        <v>2017</v>
      </c>
      <c r="D136" s="4" t="n">
        <v>20663</v>
      </c>
      <c r="E136" s="4" t="n">
        <v>75.3</v>
      </c>
      <c r="F136" s="4" t="n">
        <v>2.82</v>
      </c>
      <c r="G136" s="4" t="n">
        <v>1005.9</v>
      </c>
      <c r="H136" s="4" t="n">
        <v>47.6</v>
      </c>
      <c r="I136" s="4" t="n">
        <v>264.6</v>
      </c>
      <c r="J136" s="4" t="n">
        <v>8.859999999999999</v>
      </c>
      <c r="K136" s="4" t="n">
        <v>1.25</v>
      </c>
      <c r="L136" s="4" t="n">
        <v>628411</v>
      </c>
      <c r="M136" s="4" t="n">
        <v>73</v>
      </c>
      <c r="N136" s="8" t="inlineStr">
        <is>
          <t>Mantenimiento Urgente</t>
        </is>
      </c>
    </row>
    <row r="137">
      <c r="A137" s="6" t="inlineStr">
        <is>
          <t>CAM-134</t>
        </is>
      </c>
      <c r="B137" s="6" t="inlineStr">
        <is>
          <t>Komatsu 960E</t>
        </is>
      </c>
      <c r="C137" s="6" t="n">
        <v>2014</v>
      </c>
      <c r="D137" s="6" t="n">
        <v>4492</v>
      </c>
      <c r="E137" s="6" t="n">
        <v>77.90000000000001</v>
      </c>
      <c r="F137" s="6" t="n">
        <v>4.18</v>
      </c>
      <c r="G137" s="6" t="n">
        <v>3015.2</v>
      </c>
      <c r="H137" s="6" t="n">
        <v>30.6</v>
      </c>
      <c r="I137" s="6" t="n">
        <v>133.3</v>
      </c>
      <c r="J137" s="6" t="n">
        <v>10.91</v>
      </c>
      <c r="K137" s="6" t="n">
        <v>1.37</v>
      </c>
      <c r="L137" s="6" t="n">
        <v>83264</v>
      </c>
      <c r="M137" s="6" t="n">
        <v>131</v>
      </c>
      <c r="N137" s="5" t="inlineStr">
        <is>
          <t>Mantenimiento Próximo</t>
        </is>
      </c>
    </row>
    <row r="138">
      <c r="A138" s="4" t="inlineStr">
        <is>
          <t>CAM-135</t>
        </is>
      </c>
      <c r="B138" s="4" t="inlineStr">
        <is>
          <t>Terex MT6300</t>
        </is>
      </c>
      <c r="C138" s="4" t="n">
        <v>2013</v>
      </c>
      <c r="D138" s="4" t="n">
        <v>24045</v>
      </c>
      <c r="E138" s="4" t="n">
        <v>83.59999999999999</v>
      </c>
      <c r="F138" s="4" t="n">
        <v>4.22</v>
      </c>
      <c r="G138" s="4" t="n">
        <v>2346.3</v>
      </c>
      <c r="H138" s="4" t="n">
        <v>20.8</v>
      </c>
      <c r="I138" s="4" t="n">
        <v>225</v>
      </c>
      <c r="J138" s="4" t="n">
        <v>8.140000000000001</v>
      </c>
      <c r="K138" s="4" t="n">
        <v>0.45</v>
      </c>
      <c r="L138" s="4" t="n">
        <v>470693</v>
      </c>
      <c r="M138" s="4" t="n">
        <v>17</v>
      </c>
      <c r="N138" s="5" t="inlineStr">
        <is>
          <t>Mantenimiento Próximo</t>
        </is>
      </c>
    </row>
    <row r="139">
      <c r="A139" s="6" t="inlineStr">
        <is>
          <t>CAM-136</t>
        </is>
      </c>
      <c r="B139" s="6" t="inlineStr">
        <is>
          <t>Terex MT6300</t>
        </is>
      </c>
      <c r="C139" s="6" t="n">
        <v>2018</v>
      </c>
      <c r="D139" s="6" t="n">
        <v>17124</v>
      </c>
      <c r="E139" s="6" t="n">
        <v>122.2</v>
      </c>
      <c r="F139" s="6" t="n">
        <v>4.53</v>
      </c>
      <c r="G139" s="6" t="n">
        <v>125.9</v>
      </c>
      <c r="H139" s="6" t="n">
        <v>49.3</v>
      </c>
      <c r="I139" s="6" t="n">
        <v>113.1</v>
      </c>
      <c r="J139" s="6" t="n">
        <v>4.95</v>
      </c>
      <c r="K139" s="6" t="n">
        <v>0.97</v>
      </c>
      <c r="L139" s="6" t="n">
        <v>727341</v>
      </c>
      <c r="M139" s="6" t="n">
        <v>91</v>
      </c>
      <c r="N139" s="5" t="inlineStr">
        <is>
          <t>Mantenimiento Próximo</t>
        </is>
      </c>
    </row>
    <row r="140">
      <c r="A140" s="4" t="inlineStr">
        <is>
          <t>CAM-137</t>
        </is>
      </c>
      <c r="B140" s="4" t="inlineStr">
        <is>
          <t>Caterpillar 797F</t>
        </is>
      </c>
      <c r="C140" s="4" t="n">
        <v>2015</v>
      </c>
      <c r="D140" s="4" t="n">
        <v>8401</v>
      </c>
      <c r="E140" s="4" t="n">
        <v>119</v>
      </c>
      <c r="F140" s="4" t="n">
        <v>5.01</v>
      </c>
      <c r="G140" s="4" t="n">
        <v>2931.6</v>
      </c>
      <c r="H140" s="4" t="n">
        <v>43.1</v>
      </c>
      <c r="I140" s="4" t="n">
        <v>199.8</v>
      </c>
      <c r="J140" s="4" t="n">
        <v>1.01</v>
      </c>
      <c r="K140" s="4" t="n">
        <v>1.28</v>
      </c>
      <c r="L140" s="4" t="n">
        <v>320345</v>
      </c>
      <c r="M140" s="4" t="n">
        <v>44</v>
      </c>
      <c r="N140" s="7" t="inlineStr">
        <is>
          <t>Operativo Normal</t>
        </is>
      </c>
    </row>
    <row r="141">
      <c r="A141" s="6" t="inlineStr">
        <is>
          <t>CAM-138</t>
        </is>
      </c>
      <c r="B141" s="6" t="inlineStr">
        <is>
          <t>BelAZ 75710</t>
        </is>
      </c>
      <c r="C141" s="6" t="n">
        <v>2017</v>
      </c>
      <c r="D141" s="6" t="n">
        <v>23286</v>
      </c>
      <c r="E141" s="6" t="n">
        <v>103.7</v>
      </c>
      <c r="F141" s="6" t="n">
        <v>3.23</v>
      </c>
      <c r="G141" s="6" t="n">
        <v>553.7</v>
      </c>
      <c r="H141" s="6" t="n">
        <v>42.2</v>
      </c>
      <c r="I141" s="6" t="n">
        <v>383.1</v>
      </c>
      <c r="J141" s="6" t="n">
        <v>0.93</v>
      </c>
      <c r="K141" s="6" t="n">
        <v>0.66</v>
      </c>
      <c r="L141" s="6" t="n">
        <v>861691</v>
      </c>
      <c r="M141" s="6" t="n">
        <v>10</v>
      </c>
      <c r="N141" s="5" t="inlineStr">
        <is>
          <t>Mantenimiento Próximo</t>
        </is>
      </c>
    </row>
    <row r="142">
      <c r="A142" s="4" t="inlineStr">
        <is>
          <t>CAM-139</t>
        </is>
      </c>
      <c r="B142" s="4" t="inlineStr">
        <is>
          <t>Liebherr T 282C</t>
        </is>
      </c>
      <c r="C142" s="4" t="n">
        <v>2014</v>
      </c>
      <c r="D142" s="4" t="n">
        <v>17388</v>
      </c>
      <c r="E142" s="4" t="n">
        <v>98.90000000000001</v>
      </c>
      <c r="F142" s="4" t="n">
        <v>5.76</v>
      </c>
      <c r="G142" s="4" t="n">
        <v>1818.1</v>
      </c>
      <c r="H142" s="4" t="n">
        <v>11.6</v>
      </c>
      <c r="I142" s="4" t="n">
        <v>294.1</v>
      </c>
      <c r="J142" s="4" t="n">
        <v>3.79</v>
      </c>
      <c r="K142" s="4" t="n">
        <v>1.85</v>
      </c>
      <c r="L142" s="4" t="n">
        <v>124395</v>
      </c>
      <c r="M142" s="4" t="n">
        <v>167</v>
      </c>
      <c r="N142" s="5" t="inlineStr">
        <is>
          <t>Mantenimiento Próximo</t>
        </is>
      </c>
    </row>
    <row r="143">
      <c r="A143" s="6" t="inlineStr">
        <is>
          <t>CAM-140</t>
        </is>
      </c>
      <c r="B143" s="6" t="inlineStr">
        <is>
          <t>Liebherr T 282C</t>
        </is>
      </c>
      <c r="C143" s="6" t="n">
        <v>2014</v>
      </c>
      <c r="D143" s="6" t="n">
        <v>4578</v>
      </c>
      <c r="E143" s="6" t="n">
        <v>123</v>
      </c>
      <c r="F143" s="6" t="n">
        <v>4.25</v>
      </c>
      <c r="G143" s="6" t="n">
        <v>1544.1</v>
      </c>
      <c r="H143" s="6" t="n">
        <v>29.8</v>
      </c>
      <c r="I143" s="6" t="n">
        <v>386.9</v>
      </c>
      <c r="J143" s="6" t="n">
        <v>4.4</v>
      </c>
      <c r="K143" s="6" t="n">
        <v>0.64</v>
      </c>
      <c r="L143" s="6" t="n">
        <v>114900</v>
      </c>
      <c r="M143" s="6" t="n">
        <v>94</v>
      </c>
      <c r="N143" s="5" t="inlineStr">
        <is>
          <t>Mantenimiento Próximo</t>
        </is>
      </c>
    </row>
    <row r="144">
      <c r="A144" s="4" t="inlineStr">
        <is>
          <t>CAM-141</t>
        </is>
      </c>
      <c r="B144" s="4" t="inlineStr">
        <is>
          <t>Terex MT6300</t>
        </is>
      </c>
      <c r="C144" s="4" t="n">
        <v>2014</v>
      </c>
      <c r="D144" s="4" t="n">
        <v>3207</v>
      </c>
      <c r="E144" s="4" t="n">
        <v>118.6</v>
      </c>
      <c r="F144" s="4" t="n">
        <v>2.82</v>
      </c>
      <c r="G144" s="4" t="n">
        <v>2300.2</v>
      </c>
      <c r="H144" s="4" t="n">
        <v>47</v>
      </c>
      <c r="I144" s="4" t="n">
        <v>263.6</v>
      </c>
      <c r="J144" s="4" t="n">
        <v>4.19</v>
      </c>
      <c r="K144" s="4" t="n">
        <v>0.44</v>
      </c>
      <c r="L144" s="4" t="n">
        <v>125304</v>
      </c>
      <c r="M144" s="4" t="n">
        <v>78</v>
      </c>
      <c r="N144" s="5" t="inlineStr">
        <is>
          <t>Mantenimiento Próximo</t>
        </is>
      </c>
    </row>
    <row r="145">
      <c r="A145" s="6" t="inlineStr">
        <is>
          <t>CAM-142</t>
        </is>
      </c>
      <c r="B145" s="6" t="inlineStr">
        <is>
          <t>Hitachi EH5000</t>
        </is>
      </c>
      <c r="C145" s="6" t="n">
        <v>2019</v>
      </c>
      <c r="D145" s="6" t="n">
        <v>24016</v>
      </c>
      <c r="E145" s="6" t="n">
        <v>100.6</v>
      </c>
      <c r="F145" s="6" t="n">
        <v>5.26</v>
      </c>
      <c r="G145" s="6" t="n">
        <v>1363</v>
      </c>
      <c r="H145" s="6" t="n">
        <v>11.9</v>
      </c>
      <c r="I145" s="6" t="n">
        <v>361</v>
      </c>
      <c r="J145" s="6" t="n">
        <v>4.55</v>
      </c>
      <c r="K145" s="6" t="n">
        <v>2.1</v>
      </c>
      <c r="L145" s="6" t="n">
        <v>198937</v>
      </c>
      <c r="M145" s="6" t="n">
        <v>14</v>
      </c>
      <c r="N145" s="7" t="inlineStr">
        <is>
          <t>Operativo Normal</t>
        </is>
      </c>
    </row>
    <row r="146">
      <c r="A146" s="4" t="inlineStr">
        <is>
          <t>CAM-143</t>
        </is>
      </c>
      <c r="B146" s="4" t="inlineStr">
        <is>
          <t>Caterpillar 797F</t>
        </is>
      </c>
      <c r="C146" s="4" t="n">
        <v>2020</v>
      </c>
      <c r="D146" s="4" t="n">
        <v>21390</v>
      </c>
      <c r="E146" s="4" t="n">
        <v>99.40000000000001</v>
      </c>
      <c r="F146" s="4" t="n">
        <v>4.55</v>
      </c>
      <c r="G146" s="4" t="n">
        <v>2850.9</v>
      </c>
      <c r="H146" s="4" t="n">
        <v>17.2</v>
      </c>
      <c r="I146" s="4" t="n">
        <v>109.3</v>
      </c>
      <c r="J146" s="4" t="n">
        <v>10.26</v>
      </c>
      <c r="K146" s="4" t="n">
        <v>1.52</v>
      </c>
      <c r="L146" s="4" t="n">
        <v>277167</v>
      </c>
      <c r="M146" s="4" t="n">
        <v>32</v>
      </c>
      <c r="N146" s="5" t="inlineStr">
        <is>
          <t>Mantenimiento Próximo</t>
        </is>
      </c>
    </row>
    <row r="147">
      <c r="A147" s="6" t="inlineStr">
        <is>
          <t>CAM-144</t>
        </is>
      </c>
      <c r="B147" s="6" t="inlineStr">
        <is>
          <t>Caterpillar 797F</t>
        </is>
      </c>
      <c r="C147" s="6" t="n">
        <v>2013</v>
      </c>
      <c r="D147" s="6" t="n">
        <v>21640</v>
      </c>
      <c r="E147" s="6" t="n">
        <v>97</v>
      </c>
      <c r="F147" s="6" t="n">
        <v>4.03</v>
      </c>
      <c r="G147" s="6" t="n">
        <v>2168.7</v>
      </c>
      <c r="H147" s="6" t="n">
        <v>37.2</v>
      </c>
      <c r="I147" s="6" t="n">
        <v>303.7</v>
      </c>
      <c r="J147" s="6" t="n">
        <v>11.41</v>
      </c>
      <c r="K147" s="6" t="n">
        <v>0.97</v>
      </c>
      <c r="L147" s="6" t="n">
        <v>698006</v>
      </c>
      <c r="M147" s="6" t="n">
        <v>146</v>
      </c>
      <c r="N147" s="8" t="inlineStr">
        <is>
          <t>Mantenimiento Urgente</t>
        </is>
      </c>
    </row>
    <row r="148">
      <c r="A148" s="4" t="inlineStr">
        <is>
          <t>CAM-145</t>
        </is>
      </c>
      <c r="B148" s="4" t="inlineStr">
        <is>
          <t>Komatsu 960E</t>
        </is>
      </c>
      <c r="C148" s="4" t="n">
        <v>2018</v>
      </c>
      <c r="D148" s="4" t="n">
        <v>12524</v>
      </c>
      <c r="E148" s="4" t="n">
        <v>98.90000000000001</v>
      </c>
      <c r="F148" s="4" t="n">
        <v>5.1</v>
      </c>
      <c r="G148" s="4" t="n">
        <v>982.3</v>
      </c>
      <c r="H148" s="4" t="n">
        <v>15.1</v>
      </c>
      <c r="I148" s="4" t="n">
        <v>320.7</v>
      </c>
      <c r="J148" s="4" t="n">
        <v>6.24</v>
      </c>
      <c r="K148" s="4" t="n">
        <v>1</v>
      </c>
      <c r="L148" s="4" t="n">
        <v>150644</v>
      </c>
      <c r="M148" s="4" t="n">
        <v>67</v>
      </c>
      <c r="N148" s="7" t="inlineStr">
        <is>
          <t>Operativo Normal</t>
        </is>
      </c>
    </row>
    <row r="149">
      <c r="A149" s="6" t="inlineStr">
        <is>
          <t>CAM-146</t>
        </is>
      </c>
      <c r="B149" s="6" t="inlineStr">
        <is>
          <t>Liebherr T 282C</t>
        </is>
      </c>
      <c r="C149" s="6" t="n">
        <v>2021</v>
      </c>
      <c r="D149" s="6" t="n">
        <v>15123</v>
      </c>
      <c r="E149" s="6" t="n">
        <v>87.90000000000001</v>
      </c>
      <c r="F149" s="6" t="n">
        <v>4.95</v>
      </c>
      <c r="G149" s="6" t="n">
        <v>2642</v>
      </c>
      <c r="H149" s="6" t="n">
        <v>54.9</v>
      </c>
      <c r="I149" s="6" t="n">
        <v>160.1</v>
      </c>
      <c r="J149" s="6" t="n">
        <v>2.06</v>
      </c>
      <c r="K149" s="6" t="n">
        <v>0.43</v>
      </c>
      <c r="L149" s="6" t="n">
        <v>548324</v>
      </c>
      <c r="M149" s="6" t="n">
        <v>113</v>
      </c>
      <c r="N149" s="7" t="inlineStr">
        <is>
          <t>Operativo Normal</t>
        </is>
      </c>
    </row>
    <row r="150">
      <c r="A150" s="4" t="inlineStr">
        <is>
          <t>CAM-147</t>
        </is>
      </c>
      <c r="B150" s="4" t="inlineStr">
        <is>
          <t>Caterpillar 797F</t>
        </is>
      </c>
      <c r="C150" s="4" t="n">
        <v>2022</v>
      </c>
      <c r="D150" s="4" t="n">
        <v>22845</v>
      </c>
      <c r="E150" s="4" t="n">
        <v>133.1</v>
      </c>
      <c r="F150" s="4" t="n">
        <v>6.45</v>
      </c>
      <c r="G150" s="4" t="n">
        <v>2544.4</v>
      </c>
      <c r="H150" s="4" t="n">
        <v>41.9</v>
      </c>
      <c r="I150" s="4" t="n">
        <v>265</v>
      </c>
      <c r="J150" s="4" t="n">
        <v>3.84</v>
      </c>
      <c r="K150" s="4" t="n">
        <v>0.84</v>
      </c>
      <c r="L150" s="4" t="n">
        <v>627091</v>
      </c>
      <c r="M150" s="4" t="n">
        <v>179</v>
      </c>
      <c r="N150" s="8" t="inlineStr">
        <is>
          <t>Mantenimiento Urgente</t>
        </is>
      </c>
    </row>
    <row r="151">
      <c r="A151" s="6" t="inlineStr">
        <is>
          <t>CAM-148</t>
        </is>
      </c>
      <c r="B151" s="6" t="inlineStr">
        <is>
          <t>BelAZ 75710</t>
        </is>
      </c>
      <c r="C151" s="6" t="n">
        <v>2012</v>
      </c>
      <c r="D151" s="6" t="n">
        <v>12345</v>
      </c>
      <c r="E151" s="6" t="n">
        <v>105.5</v>
      </c>
      <c r="F151" s="6" t="n">
        <v>2.99</v>
      </c>
      <c r="G151" s="6" t="n">
        <v>800.7</v>
      </c>
      <c r="H151" s="6" t="n">
        <v>16.2</v>
      </c>
      <c r="I151" s="6" t="n">
        <v>337.1</v>
      </c>
      <c r="J151" s="6" t="n">
        <v>0.8</v>
      </c>
      <c r="K151" s="6" t="n">
        <v>1.3</v>
      </c>
      <c r="L151" s="6" t="n">
        <v>145816</v>
      </c>
      <c r="M151" s="6" t="n">
        <v>141</v>
      </c>
      <c r="N151" s="8" t="inlineStr">
        <is>
          <t>Mantenimiento Urgente</t>
        </is>
      </c>
    </row>
    <row r="152">
      <c r="A152" s="4" t="inlineStr">
        <is>
          <t>CAM-149</t>
        </is>
      </c>
      <c r="B152" s="4" t="inlineStr">
        <is>
          <t>Komatsu 960E</t>
        </is>
      </c>
      <c r="C152" s="4" t="n">
        <v>2019</v>
      </c>
      <c r="D152" s="4" t="n">
        <v>3325</v>
      </c>
      <c r="E152" s="4" t="n">
        <v>78.90000000000001</v>
      </c>
      <c r="F152" s="4" t="n">
        <v>4.09</v>
      </c>
      <c r="G152" s="4" t="n">
        <v>2727.7</v>
      </c>
      <c r="H152" s="4" t="n">
        <v>31.5</v>
      </c>
      <c r="I152" s="4" t="n">
        <v>223.2</v>
      </c>
      <c r="J152" s="4" t="n">
        <v>5.21</v>
      </c>
      <c r="K152" s="4" t="n">
        <v>1.33</v>
      </c>
      <c r="L152" s="4" t="n">
        <v>67437</v>
      </c>
      <c r="M152" s="4" t="n">
        <v>81</v>
      </c>
      <c r="N152" s="7" t="inlineStr">
        <is>
          <t>Operativo Normal</t>
        </is>
      </c>
    </row>
    <row r="153">
      <c r="A153" s="6" t="inlineStr">
        <is>
          <t>CAM-150</t>
        </is>
      </c>
      <c r="B153" s="6" t="inlineStr">
        <is>
          <t>BelAZ 75710</t>
        </is>
      </c>
      <c r="C153" s="6" t="n">
        <v>2011</v>
      </c>
      <c r="D153" s="6" t="n">
        <v>15244</v>
      </c>
      <c r="E153" s="6" t="n">
        <v>102.9</v>
      </c>
      <c r="F153" s="6" t="n">
        <v>4.57</v>
      </c>
      <c r="G153" s="6" t="n">
        <v>529.3</v>
      </c>
      <c r="H153" s="6" t="n">
        <v>47.3</v>
      </c>
      <c r="I153" s="6" t="n">
        <v>265.4</v>
      </c>
      <c r="J153" s="6" t="n">
        <v>7.26</v>
      </c>
      <c r="K153" s="6" t="n">
        <v>1.68</v>
      </c>
      <c r="L153" s="6" t="n">
        <v>465188</v>
      </c>
      <c r="M153" s="6" t="n">
        <v>128</v>
      </c>
      <c r="N153" s="5" t="inlineStr">
        <is>
          <t>Mantenimiento Próximo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 ht="28" customHeight="1">
      <c r="A1" s="9" t="inlineStr">
        <is>
          <t>ESTADÍSTICAS DEL DATASET</t>
        </is>
      </c>
    </row>
    <row r="3">
      <c r="A3" s="10" t="inlineStr">
        <is>
          <t>Distribución de Estados de Mantenimiento</t>
        </is>
      </c>
    </row>
    <row r="4">
      <c r="A4" s="11" t="inlineStr">
        <is>
          <t>Estado</t>
        </is>
      </c>
      <c r="B4" s="11" t="inlineStr">
        <is>
          <t>Cantidad</t>
        </is>
      </c>
      <c r="C4" s="11" t="inlineStr">
        <is>
          <t>Porcentaje (%)</t>
        </is>
      </c>
    </row>
    <row r="5">
      <c r="A5" s="12" t="inlineStr">
        <is>
          <t>Mantenimiento Próximo</t>
        </is>
      </c>
      <c r="B5" s="12" t="n">
        <v>72</v>
      </c>
      <c r="C5" s="12">
        <f>B5/SUM($B$5:$B$7)*100</f>
        <v/>
      </c>
    </row>
    <row r="6">
      <c r="A6" s="13" t="inlineStr">
        <is>
          <t>Operativo Normal</t>
        </is>
      </c>
      <c r="B6" s="13" t="n">
        <v>26</v>
      </c>
      <c r="C6" s="13">
        <f>B6/SUM($B$5:$B$7)*100</f>
        <v/>
      </c>
    </row>
    <row r="7">
      <c r="A7" s="14" t="inlineStr">
        <is>
          <t>Mantenimiento Urgente</t>
        </is>
      </c>
      <c r="B7" s="14" t="n">
        <v>52</v>
      </c>
      <c r="C7" s="14">
        <f>B7/SUM($B$5:$B$7)*100</f>
        <v/>
      </c>
    </row>
    <row r="10">
      <c r="A10" s="10" t="inlineStr">
        <is>
          <t>Estadísticas de Variables Numéricas</t>
        </is>
      </c>
    </row>
    <row r="11">
      <c r="A11" s="11" t="inlineStr">
        <is>
          <t>Variable</t>
        </is>
      </c>
      <c r="B11" s="11" t="inlineStr">
        <is>
          <t>Mínimo</t>
        </is>
      </c>
      <c r="C11" s="11" t="inlineStr">
        <is>
          <t>Máximo</t>
        </is>
      </c>
      <c r="D11" s="11" t="inlineStr">
        <is>
          <t>Promedio</t>
        </is>
      </c>
      <c r="E11" s="11" t="inlineStr">
        <is>
          <t>Descripción</t>
        </is>
      </c>
    </row>
    <row r="12">
      <c r="A12" s="4" t="inlineStr">
        <is>
          <t>Horas de Operación</t>
        </is>
      </c>
      <c r="B12" s="4" t="n">
        <v>2010</v>
      </c>
      <c r="C12" s="4" t="n">
        <v>2023</v>
      </c>
      <c r="D12" s="4" t="n">
        <v>2016.23</v>
      </c>
      <c r="E12" s="4" t="inlineStr">
        <is>
          <t>Desgaste acumulado del camión</t>
        </is>
      </c>
    </row>
    <row r="13">
      <c r="A13" s="6" t="inlineStr">
        <is>
          <t>Temperatura Motor (°C)</t>
        </is>
      </c>
      <c r="B13" s="6" t="n">
        <v>570</v>
      </c>
      <c r="C13" s="6" t="n">
        <v>24898</v>
      </c>
      <c r="D13" s="6" t="n">
        <v>13135.03</v>
      </c>
      <c r="E13" s="6" t="inlineStr">
        <is>
          <t>Indica sobrecalentamiento potencial</t>
        </is>
      </c>
    </row>
    <row r="14">
      <c r="A14" s="4" t="inlineStr">
        <is>
          <t>Presión de Aceite (bar)</t>
        </is>
      </c>
      <c r="B14" s="4" t="n">
        <v>75.3</v>
      </c>
      <c r="C14" s="4" t="n">
        <v>134.3</v>
      </c>
      <c r="D14" s="4" t="n">
        <v>107.03</v>
      </c>
      <c r="E14" s="4" t="inlineStr">
        <is>
          <t>Lubricación del motor</t>
        </is>
      </c>
    </row>
    <row r="15">
      <c r="A15" s="6" t="inlineStr">
        <is>
          <t>Vibración (mm/s)</t>
        </is>
      </c>
      <c r="B15" s="6" t="n">
        <v>105.6</v>
      </c>
      <c r="C15" s="6" t="n">
        <v>399.5</v>
      </c>
      <c r="D15" s="6" t="n">
        <v>257.35</v>
      </c>
      <c r="E15" s="6" t="inlineStr">
        <is>
          <t>Daño mecánico en suspensión/motor</t>
        </is>
      </c>
    </row>
    <row r="16">
      <c r="A16" s="4" t="inlineStr">
        <is>
          <t>Días Último Mant.</t>
        </is>
      </c>
      <c r="B16" s="4" t="n">
        <v>6535</v>
      </c>
      <c r="C16" s="4" t="n">
        <v>861691</v>
      </c>
      <c r="D16" s="4" t="n">
        <v>321401.89</v>
      </c>
      <c r="E16" s="4" t="inlineStr">
        <is>
          <t>Tiempo desde último servicio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22" customWidth="1" min="4" max="4"/>
    <col width="52" customWidth="1" min="5" max="5"/>
  </cols>
  <sheetData>
    <row r="1" ht="28" customHeight="1">
      <c r="A1" s="9" t="inlineStr">
        <is>
          <t>DICCIONARIO DE VARIABLES</t>
        </is>
      </c>
    </row>
    <row r="3" ht="30" customHeight="1">
      <c r="A3" s="15" t="inlineStr">
        <is>
          <t>Variable</t>
        </is>
      </c>
      <c r="B3" s="15" t="inlineStr">
        <is>
          <t>Tipo</t>
        </is>
      </c>
      <c r="C3" s="15" t="inlineStr">
        <is>
          <t>Unidad</t>
        </is>
      </c>
      <c r="D3" s="15" t="inlineStr">
        <is>
          <t>Rango Típico</t>
        </is>
      </c>
      <c r="E3" s="15" t="inlineStr">
        <is>
          <t>Descripción Detallada</t>
        </is>
      </c>
    </row>
    <row r="4" ht="22" customHeight="1">
      <c r="A4" s="16" t="inlineStr">
        <is>
          <t>ID_Camion</t>
        </is>
      </c>
      <c r="B4" s="17" t="inlineStr">
        <is>
          <t>Categórica</t>
        </is>
      </c>
      <c r="C4" s="17" t="inlineStr">
        <is>
          <t>—</t>
        </is>
      </c>
      <c r="D4" s="17" t="inlineStr">
        <is>
          <t>CAM-001 … CAM-150</t>
        </is>
      </c>
      <c r="E4" s="17" t="inlineStr">
        <is>
          <t>Identificador único del camión minero</t>
        </is>
      </c>
    </row>
    <row r="5" ht="22" customHeight="1">
      <c r="A5" s="18" t="inlineStr">
        <is>
          <t>Modelo</t>
        </is>
      </c>
      <c r="B5" s="19" t="inlineStr">
        <is>
          <t>Categórica</t>
        </is>
      </c>
      <c r="C5" s="19" t="inlineStr">
        <is>
          <t>—</t>
        </is>
      </c>
      <c r="D5" s="19" t="inlineStr">
        <is>
          <t>6 marcas/modelos</t>
        </is>
      </c>
      <c r="E5" s="19" t="inlineStr">
        <is>
          <t>Fabricante y modelo del camión de gran tonelaje</t>
        </is>
      </c>
    </row>
    <row r="6" ht="22" customHeight="1">
      <c r="A6" s="16" t="inlineStr">
        <is>
          <t>Año_Fabricacion</t>
        </is>
      </c>
      <c r="B6" s="17" t="inlineStr">
        <is>
          <t>Numérica</t>
        </is>
      </c>
      <c r="C6" s="17" t="inlineStr">
        <is>
          <t>Año</t>
        </is>
      </c>
      <c r="D6" s="17" t="inlineStr">
        <is>
          <t>2010 – 2023</t>
        </is>
      </c>
      <c r="E6" s="17" t="inlineStr">
        <is>
          <t>Año en que fue fabricado el camión</t>
        </is>
      </c>
    </row>
    <row r="7" ht="22" customHeight="1">
      <c r="A7" s="18" t="inlineStr">
        <is>
          <t>Horas_Operacion</t>
        </is>
      </c>
      <c r="B7" s="19" t="inlineStr">
        <is>
          <t>Numérica</t>
        </is>
      </c>
      <c r="C7" s="19" t="inlineStr">
        <is>
          <t>horas</t>
        </is>
      </c>
      <c r="D7" s="19" t="inlineStr">
        <is>
          <t>500 – 25,000</t>
        </is>
      </c>
      <c r="E7" s="19" t="inlineStr">
        <is>
          <t>Horas totales de operación acumuladas</t>
        </is>
      </c>
    </row>
    <row r="8" ht="22" customHeight="1">
      <c r="A8" s="16" t="inlineStr">
        <is>
          <t>Temperatura_Motor_C</t>
        </is>
      </c>
      <c r="B8" s="17" t="inlineStr">
        <is>
          <t>Numérica</t>
        </is>
      </c>
      <c r="C8" s="17" t="inlineStr">
        <is>
          <t>°C</t>
        </is>
      </c>
      <c r="D8" s="17" t="inlineStr">
        <is>
          <t>75 – 135</t>
        </is>
      </c>
      <c r="E8" s="17" t="inlineStr">
        <is>
          <t>Temperatura del motor durante operación</t>
        </is>
      </c>
    </row>
    <row r="9" ht="22" customHeight="1">
      <c r="A9" s="18" t="inlineStr">
        <is>
          <t>Presion_Aceite_bar</t>
        </is>
      </c>
      <c r="B9" s="19" t="inlineStr">
        <is>
          <t>Numérica</t>
        </is>
      </c>
      <c r="C9" s="19" t="inlineStr">
        <is>
          <t>bar</t>
        </is>
      </c>
      <c r="D9" s="19" t="inlineStr">
        <is>
          <t>2.5 – 6.5</t>
        </is>
      </c>
      <c r="E9" s="19" t="inlineStr">
        <is>
          <t>Presión del aceite lubricante del motor</t>
        </is>
      </c>
    </row>
    <row r="10" ht="22" customHeight="1">
      <c r="A10" s="16" t="inlineStr">
        <is>
          <t>Nivel_Combustible_L</t>
        </is>
      </c>
      <c r="B10" s="17" t="inlineStr">
        <is>
          <t>Numérica</t>
        </is>
      </c>
      <c r="C10" s="17" t="inlineStr">
        <is>
          <t>litros</t>
        </is>
      </c>
      <c r="D10" s="17" t="inlineStr">
        <is>
          <t>50 – 3,785</t>
        </is>
      </c>
      <c r="E10" s="17" t="inlineStr">
        <is>
          <t>Nivel de combustible en el tanque</t>
        </is>
      </c>
    </row>
    <row r="11" ht="22" customHeight="1">
      <c r="A11" s="18" t="inlineStr">
        <is>
          <t>Velocidad_Promedio_kmh</t>
        </is>
      </c>
      <c r="B11" s="19" t="inlineStr">
        <is>
          <t>Numérica</t>
        </is>
      </c>
      <c r="C11" s="19" t="inlineStr">
        <is>
          <t>km/h</t>
        </is>
      </c>
      <c r="D11" s="19" t="inlineStr">
        <is>
          <t>10 – 55</t>
        </is>
      </c>
      <c r="E11" s="19" t="inlineStr">
        <is>
          <t>Velocidad promedio de desplazamiento</t>
        </is>
      </c>
    </row>
    <row r="12" ht="22" customHeight="1">
      <c r="A12" s="16" t="inlineStr">
        <is>
          <t>Carga_Toneladas</t>
        </is>
      </c>
      <c r="B12" s="17" t="inlineStr">
        <is>
          <t>Numérica</t>
        </is>
      </c>
      <c r="C12" s="17" t="inlineStr">
        <is>
          <t>toneladas</t>
        </is>
      </c>
      <c r="D12" s="17" t="inlineStr">
        <is>
          <t>100 – 400</t>
        </is>
      </c>
      <c r="E12" s="17" t="inlineStr">
        <is>
          <t>Carga útil transportada por viaje</t>
        </is>
      </c>
    </row>
    <row r="13" ht="22" customHeight="1">
      <c r="A13" s="18" t="inlineStr">
        <is>
          <t>Vibracion_mm_s</t>
        </is>
      </c>
      <c r="B13" s="19" t="inlineStr">
        <is>
          <t>Numérica</t>
        </is>
      </c>
      <c r="C13" s="19" t="inlineStr">
        <is>
          <t>mm/s</t>
        </is>
      </c>
      <c r="D13" s="19" t="inlineStr">
        <is>
          <t>0.5 – 12</t>
        </is>
      </c>
      <c r="E13" s="19" t="inlineStr">
        <is>
          <t>Nivel de vibración del chasis y componentes</t>
        </is>
      </c>
    </row>
    <row r="14" ht="22" customHeight="1">
      <c r="A14" s="16" t="inlineStr">
        <is>
          <t>Eficiencia_Combustible</t>
        </is>
      </c>
      <c r="B14" s="17" t="inlineStr">
        <is>
          <t>Numérica</t>
        </is>
      </c>
      <c r="C14" s="17" t="inlineStr">
        <is>
          <t>L/km</t>
        </is>
      </c>
      <c r="D14" s="17" t="inlineStr">
        <is>
          <t>0.3 – 2.1</t>
        </is>
      </c>
      <c r="E14" s="17" t="inlineStr">
        <is>
          <t>Consumo de combustible por kilómetro</t>
        </is>
      </c>
    </row>
    <row r="15" ht="22" customHeight="1">
      <c r="A15" s="18" t="inlineStr">
        <is>
          <t>Km_Recorridos</t>
        </is>
      </c>
      <c r="B15" s="19" t="inlineStr">
        <is>
          <t>Numérica</t>
        </is>
      </c>
      <c r="C15" s="19" t="inlineStr">
        <is>
          <t>km</t>
        </is>
      </c>
      <c r="D15" s="19" t="inlineStr">
        <is>
          <t>300 – 1,300,000</t>
        </is>
      </c>
      <c r="E15" s="19" t="inlineStr">
        <is>
          <t>Kilómetros totales recorridos</t>
        </is>
      </c>
    </row>
    <row r="16" ht="22" customHeight="1">
      <c r="A16" s="16" t="inlineStr">
        <is>
          <t>Dias_Ultimo_Mantenimiento</t>
        </is>
      </c>
      <c r="B16" s="17" t="inlineStr">
        <is>
          <t>Numérica</t>
        </is>
      </c>
      <c r="C16" s="17" t="inlineStr">
        <is>
          <t>días</t>
        </is>
      </c>
      <c r="D16" s="17" t="inlineStr">
        <is>
          <t>0 – 180</t>
        </is>
      </c>
      <c r="E16" s="17" t="inlineStr">
        <is>
          <t>Días transcurridos desde el último mantenimiento</t>
        </is>
      </c>
    </row>
    <row r="17" ht="22" customHeight="1">
      <c r="A17" s="20" t="inlineStr">
        <is>
          <t>Estado_Mantenimiento</t>
        </is>
      </c>
      <c r="B17" s="20" t="inlineStr">
        <is>
          <t>Objetivo</t>
        </is>
      </c>
      <c r="C17" s="20" t="inlineStr">
        <is>
          <t>—</t>
        </is>
      </c>
      <c r="D17" s="20" t="inlineStr">
        <is>
          <t>3 categorías</t>
        </is>
      </c>
      <c r="E17" s="20" t="inlineStr">
        <is>
          <t>VARIABLE OBJETIVO: Operativo Normal / Mantenimiento Próximo / Urgente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2026-03-09T22:58:20Z</dcterms:created>
  <dcterms:modified xmlns:dcterms="http://purl.org/dc/terms/" xmlns:xsi="http://www.w3.org/2001/XMLSchema-instance" xsi:type="dcterms:W3CDTF">2026-03-09T22:58:20Z</dcterms:modified>
</cp:coreProperties>
</file>